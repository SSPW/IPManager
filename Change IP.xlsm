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45" windowWidth="23250" windowHeight="12510"/>
  </bookViews>
  <sheets>
    <sheet name="IP Lists" sheetId="1" r:id="rId1"/>
    <sheet name="Subnet Calculator" sheetId="6" r:id="rId2"/>
    <sheet name="Binary" sheetId="7" r:id="rId3"/>
    <sheet name="Misc." sheetId="5" r:id="rId4"/>
  </sheets>
  <functionGroups builtInGroupCount="17"/>
  <externalReferences>
    <externalReference r:id="rId5"/>
  </externalReferences>
  <definedNames>
    <definedName name="host">Binary!$T$3:$U$34</definedName>
    <definedName name="icmp">[1]Ports!#REF!</definedName>
    <definedName name="range">Binary!$A$3:$I$258</definedName>
    <definedName name="range2">Binary!$T$3:$U$34</definedName>
  </definedNames>
  <calcPr calcId="145621"/>
</workbook>
</file>

<file path=xl/calcChain.xml><?xml version="1.0" encoding="utf-8"?>
<calcChain xmlns="http://schemas.openxmlformats.org/spreadsheetml/2006/main">
  <c r="B13" i="5" l="1"/>
  <c r="B12" i="5" l="1"/>
  <c r="B11" i="5" l="1"/>
  <c r="Q258" i="7" l="1"/>
  <c r="P258" i="7"/>
  <c r="O258" i="7"/>
  <c r="N258" i="7"/>
  <c r="M258" i="7"/>
  <c r="L258" i="7"/>
  <c r="K258" i="7"/>
  <c r="J258" i="7"/>
  <c r="R258" i="7" s="1"/>
  <c r="Q257" i="7"/>
  <c r="P257" i="7"/>
  <c r="O257" i="7"/>
  <c r="N257" i="7"/>
  <c r="M257" i="7"/>
  <c r="L257" i="7"/>
  <c r="K257" i="7"/>
  <c r="J257" i="7"/>
  <c r="R257" i="7" s="1"/>
  <c r="Q256" i="7"/>
  <c r="P256" i="7"/>
  <c r="O256" i="7"/>
  <c r="N256" i="7"/>
  <c r="M256" i="7"/>
  <c r="L256" i="7"/>
  <c r="K256" i="7"/>
  <c r="J256" i="7"/>
  <c r="R256" i="7" s="1"/>
  <c r="Q255" i="7"/>
  <c r="P255" i="7"/>
  <c r="O255" i="7"/>
  <c r="N255" i="7"/>
  <c r="M255" i="7"/>
  <c r="L255" i="7"/>
  <c r="K255" i="7"/>
  <c r="J255" i="7"/>
  <c r="Q254" i="7"/>
  <c r="P254" i="7"/>
  <c r="O254" i="7"/>
  <c r="N254" i="7"/>
  <c r="M254" i="7"/>
  <c r="L254" i="7"/>
  <c r="K254" i="7"/>
  <c r="J254" i="7"/>
  <c r="R254" i="7" s="1"/>
  <c r="Q253" i="7"/>
  <c r="P253" i="7"/>
  <c r="O253" i="7"/>
  <c r="N253" i="7"/>
  <c r="M253" i="7"/>
  <c r="L253" i="7"/>
  <c r="K253" i="7"/>
  <c r="J253" i="7"/>
  <c r="R253" i="7" s="1"/>
  <c r="Q252" i="7"/>
  <c r="P252" i="7"/>
  <c r="O252" i="7"/>
  <c r="N252" i="7"/>
  <c r="M252" i="7"/>
  <c r="L252" i="7"/>
  <c r="K252" i="7"/>
  <c r="J252" i="7"/>
  <c r="Q251" i="7"/>
  <c r="P251" i="7"/>
  <c r="O251" i="7"/>
  <c r="N251" i="7"/>
  <c r="M251" i="7"/>
  <c r="L251" i="7"/>
  <c r="K251" i="7"/>
  <c r="J251" i="7"/>
  <c r="R251" i="7" s="1"/>
  <c r="Q250" i="7"/>
  <c r="P250" i="7"/>
  <c r="O250" i="7"/>
  <c r="N250" i="7"/>
  <c r="M250" i="7"/>
  <c r="L250" i="7"/>
  <c r="K250" i="7"/>
  <c r="J250" i="7"/>
  <c r="R250" i="7" s="1"/>
  <c r="Q249" i="7"/>
  <c r="P249" i="7"/>
  <c r="O249" i="7"/>
  <c r="N249" i="7"/>
  <c r="M249" i="7"/>
  <c r="L249" i="7"/>
  <c r="K249" i="7"/>
  <c r="J249" i="7"/>
  <c r="Q248" i="7"/>
  <c r="P248" i="7"/>
  <c r="O248" i="7"/>
  <c r="N248" i="7"/>
  <c r="M248" i="7"/>
  <c r="L248" i="7"/>
  <c r="K248" i="7"/>
  <c r="J248" i="7"/>
  <c r="R248" i="7" s="1"/>
  <c r="R247" i="7"/>
  <c r="Q247" i="7"/>
  <c r="P247" i="7"/>
  <c r="O247" i="7"/>
  <c r="N247" i="7"/>
  <c r="M247" i="7"/>
  <c r="L247" i="7"/>
  <c r="K247" i="7"/>
  <c r="J247" i="7"/>
  <c r="Q246" i="7"/>
  <c r="P246" i="7"/>
  <c r="O246" i="7"/>
  <c r="N246" i="7"/>
  <c r="M246" i="7"/>
  <c r="L246" i="7"/>
  <c r="K246" i="7"/>
  <c r="J246" i="7"/>
  <c r="Q245" i="7"/>
  <c r="P245" i="7"/>
  <c r="O245" i="7"/>
  <c r="N245" i="7"/>
  <c r="M245" i="7"/>
  <c r="L245" i="7"/>
  <c r="K245" i="7"/>
  <c r="J245" i="7"/>
  <c r="R245" i="7" s="1"/>
  <c r="Q244" i="7"/>
  <c r="P244" i="7"/>
  <c r="O244" i="7"/>
  <c r="N244" i="7"/>
  <c r="M244" i="7"/>
  <c r="L244" i="7"/>
  <c r="K244" i="7"/>
  <c r="J244" i="7"/>
  <c r="Q243" i="7"/>
  <c r="P243" i="7"/>
  <c r="O243" i="7"/>
  <c r="N243" i="7"/>
  <c r="M243" i="7"/>
  <c r="L243" i="7"/>
  <c r="K243" i="7"/>
  <c r="J243" i="7"/>
  <c r="Q242" i="7"/>
  <c r="P242" i="7"/>
  <c r="O242" i="7"/>
  <c r="N242" i="7"/>
  <c r="M242" i="7"/>
  <c r="L242" i="7"/>
  <c r="K242" i="7"/>
  <c r="J242" i="7"/>
  <c r="R242" i="7" s="1"/>
  <c r="Q241" i="7"/>
  <c r="P241" i="7"/>
  <c r="O241" i="7"/>
  <c r="N241" i="7"/>
  <c r="M241" i="7"/>
  <c r="L241" i="7"/>
  <c r="K241" i="7"/>
  <c r="J241" i="7"/>
  <c r="Q240" i="7"/>
  <c r="P240" i="7"/>
  <c r="O240" i="7"/>
  <c r="N240" i="7"/>
  <c r="M240" i="7"/>
  <c r="L240" i="7"/>
  <c r="K240" i="7"/>
  <c r="J240" i="7"/>
  <c r="R239" i="7"/>
  <c r="Q239" i="7"/>
  <c r="P239" i="7"/>
  <c r="O239" i="7"/>
  <c r="N239" i="7"/>
  <c r="M239" i="7"/>
  <c r="L239" i="7"/>
  <c r="K239" i="7"/>
  <c r="J239" i="7"/>
  <c r="Q238" i="7"/>
  <c r="P238" i="7"/>
  <c r="O238" i="7"/>
  <c r="N238" i="7"/>
  <c r="M238" i="7"/>
  <c r="L238" i="7"/>
  <c r="K238" i="7"/>
  <c r="J238" i="7"/>
  <c r="Q237" i="7"/>
  <c r="P237" i="7"/>
  <c r="O237" i="7"/>
  <c r="N237" i="7"/>
  <c r="M237" i="7"/>
  <c r="L237" i="7"/>
  <c r="K237" i="7"/>
  <c r="J237" i="7"/>
  <c r="R237" i="7" s="1"/>
  <c r="Q236" i="7"/>
  <c r="P236" i="7"/>
  <c r="O236" i="7"/>
  <c r="N236" i="7"/>
  <c r="M236" i="7"/>
  <c r="L236" i="7"/>
  <c r="K236" i="7"/>
  <c r="J236" i="7"/>
  <c r="Q235" i="7"/>
  <c r="P235" i="7"/>
  <c r="O235" i="7"/>
  <c r="N235" i="7"/>
  <c r="M235" i="7"/>
  <c r="L235" i="7"/>
  <c r="K235" i="7"/>
  <c r="J235" i="7"/>
  <c r="Q234" i="7"/>
  <c r="P234" i="7"/>
  <c r="O234" i="7"/>
  <c r="N234" i="7"/>
  <c r="M234" i="7"/>
  <c r="L234" i="7"/>
  <c r="K234" i="7"/>
  <c r="J234" i="7"/>
  <c r="R234" i="7" s="1"/>
  <c r="Q233" i="7"/>
  <c r="P233" i="7"/>
  <c r="O233" i="7"/>
  <c r="N233" i="7"/>
  <c r="M233" i="7"/>
  <c r="L233" i="7"/>
  <c r="K233" i="7"/>
  <c r="J233" i="7"/>
  <c r="Q232" i="7"/>
  <c r="P232" i="7"/>
  <c r="O232" i="7"/>
  <c r="N232" i="7"/>
  <c r="M232" i="7"/>
  <c r="L232" i="7"/>
  <c r="K232" i="7"/>
  <c r="J232" i="7"/>
  <c r="Q231" i="7"/>
  <c r="P231" i="7"/>
  <c r="O231" i="7"/>
  <c r="N231" i="7"/>
  <c r="M231" i="7"/>
  <c r="L231" i="7"/>
  <c r="K231" i="7"/>
  <c r="J231" i="7"/>
  <c r="R231" i="7" s="1"/>
  <c r="Q230" i="7"/>
  <c r="P230" i="7"/>
  <c r="O230" i="7"/>
  <c r="N230" i="7"/>
  <c r="M230" i="7"/>
  <c r="L230" i="7"/>
  <c r="K230" i="7"/>
  <c r="J230" i="7"/>
  <c r="Q229" i="7"/>
  <c r="P229" i="7"/>
  <c r="O229" i="7"/>
  <c r="N229" i="7"/>
  <c r="M229" i="7"/>
  <c r="L229" i="7"/>
  <c r="K229" i="7"/>
  <c r="J229" i="7"/>
  <c r="Q228" i="7"/>
  <c r="P228" i="7"/>
  <c r="O228" i="7"/>
  <c r="N228" i="7"/>
  <c r="M228" i="7"/>
  <c r="L228" i="7"/>
  <c r="K228" i="7"/>
  <c r="J228" i="7"/>
  <c r="R228" i="7" s="1"/>
  <c r="Q227" i="7"/>
  <c r="P227" i="7"/>
  <c r="O227" i="7"/>
  <c r="N227" i="7"/>
  <c r="M227" i="7"/>
  <c r="L227" i="7"/>
  <c r="K227" i="7"/>
  <c r="J227" i="7"/>
  <c r="Q226" i="7"/>
  <c r="P226" i="7"/>
  <c r="O226" i="7"/>
  <c r="N226" i="7"/>
  <c r="M226" i="7"/>
  <c r="L226" i="7"/>
  <c r="K226" i="7"/>
  <c r="J226" i="7"/>
  <c r="Q225" i="7"/>
  <c r="P225" i="7"/>
  <c r="O225" i="7"/>
  <c r="N225" i="7"/>
  <c r="M225" i="7"/>
  <c r="L225" i="7"/>
  <c r="K225" i="7"/>
  <c r="J225" i="7"/>
  <c r="R225" i="7" s="1"/>
  <c r="Q224" i="7"/>
  <c r="P224" i="7"/>
  <c r="O224" i="7"/>
  <c r="N224" i="7"/>
  <c r="M224" i="7"/>
  <c r="L224" i="7"/>
  <c r="K224" i="7"/>
  <c r="J224" i="7"/>
  <c r="Q223" i="7"/>
  <c r="P223" i="7"/>
  <c r="O223" i="7"/>
  <c r="N223" i="7"/>
  <c r="M223" i="7"/>
  <c r="L223" i="7"/>
  <c r="K223" i="7"/>
  <c r="R223" i="7" s="1"/>
  <c r="J223" i="7"/>
  <c r="Q222" i="7"/>
  <c r="P222" i="7"/>
  <c r="O222" i="7"/>
  <c r="N222" i="7"/>
  <c r="M222" i="7"/>
  <c r="L222" i="7"/>
  <c r="K222" i="7"/>
  <c r="J222" i="7"/>
  <c r="Q221" i="7"/>
  <c r="P221" i="7"/>
  <c r="O221" i="7"/>
  <c r="N221" i="7"/>
  <c r="M221" i="7"/>
  <c r="L221" i="7"/>
  <c r="K221" i="7"/>
  <c r="J221" i="7"/>
  <c r="Q220" i="7"/>
  <c r="P220" i="7"/>
  <c r="O220" i="7"/>
  <c r="N220" i="7"/>
  <c r="M220" i="7"/>
  <c r="L220" i="7"/>
  <c r="K220" i="7"/>
  <c r="J220" i="7"/>
  <c r="Q219" i="7"/>
  <c r="P219" i="7"/>
  <c r="O219" i="7"/>
  <c r="N219" i="7"/>
  <c r="M219" i="7"/>
  <c r="L219" i="7"/>
  <c r="K219" i="7"/>
  <c r="J219" i="7"/>
  <c r="Q218" i="7"/>
  <c r="P218" i="7"/>
  <c r="O218" i="7"/>
  <c r="N218" i="7"/>
  <c r="M218" i="7"/>
  <c r="L218" i="7"/>
  <c r="K218" i="7"/>
  <c r="J218" i="7"/>
  <c r="Q217" i="7"/>
  <c r="P217" i="7"/>
  <c r="O217" i="7"/>
  <c r="N217" i="7"/>
  <c r="M217" i="7"/>
  <c r="L217" i="7"/>
  <c r="K217" i="7"/>
  <c r="J217" i="7"/>
  <c r="Q216" i="7"/>
  <c r="P216" i="7"/>
  <c r="O216" i="7"/>
  <c r="N216" i="7"/>
  <c r="M216" i="7"/>
  <c r="L216" i="7"/>
  <c r="K216" i="7"/>
  <c r="J216" i="7"/>
  <c r="Q215" i="7"/>
  <c r="P215" i="7"/>
  <c r="O215" i="7"/>
  <c r="N215" i="7"/>
  <c r="M215" i="7"/>
  <c r="L215" i="7"/>
  <c r="K215" i="7"/>
  <c r="J215" i="7"/>
  <c r="Q214" i="7"/>
  <c r="P214" i="7"/>
  <c r="O214" i="7"/>
  <c r="N214" i="7"/>
  <c r="M214" i="7"/>
  <c r="L214" i="7"/>
  <c r="K214" i="7"/>
  <c r="J214" i="7"/>
  <c r="Q213" i="7"/>
  <c r="P213" i="7"/>
  <c r="O213" i="7"/>
  <c r="N213" i="7"/>
  <c r="M213" i="7"/>
  <c r="L213" i="7"/>
  <c r="K213" i="7"/>
  <c r="J213" i="7"/>
  <c r="Q212" i="7"/>
  <c r="P212" i="7"/>
  <c r="O212" i="7"/>
  <c r="N212" i="7"/>
  <c r="M212" i="7"/>
  <c r="L212" i="7"/>
  <c r="K212" i="7"/>
  <c r="J212" i="7"/>
  <c r="Q211" i="7"/>
  <c r="P211" i="7"/>
  <c r="O211" i="7"/>
  <c r="N211" i="7"/>
  <c r="M211" i="7"/>
  <c r="L211" i="7"/>
  <c r="K211" i="7"/>
  <c r="J211" i="7"/>
  <c r="Q210" i="7"/>
  <c r="P210" i="7"/>
  <c r="O210" i="7"/>
  <c r="N210" i="7"/>
  <c r="M210" i="7"/>
  <c r="L210" i="7"/>
  <c r="K210" i="7"/>
  <c r="J210" i="7"/>
  <c r="Q209" i="7"/>
  <c r="P209" i="7"/>
  <c r="O209" i="7"/>
  <c r="N209" i="7"/>
  <c r="M209" i="7"/>
  <c r="L209" i="7"/>
  <c r="K209" i="7"/>
  <c r="J209" i="7"/>
  <c r="Q208" i="7"/>
  <c r="P208" i="7"/>
  <c r="O208" i="7"/>
  <c r="N208" i="7"/>
  <c r="M208" i="7"/>
  <c r="L208" i="7"/>
  <c r="K208" i="7"/>
  <c r="J208" i="7"/>
  <c r="Q207" i="7"/>
  <c r="P207" i="7"/>
  <c r="O207" i="7"/>
  <c r="N207" i="7"/>
  <c r="M207" i="7"/>
  <c r="L207" i="7"/>
  <c r="K207" i="7"/>
  <c r="J207" i="7"/>
  <c r="Q206" i="7"/>
  <c r="P206" i="7"/>
  <c r="O206" i="7"/>
  <c r="N206" i="7"/>
  <c r="M206" i="7"/>
  <c r="L206" i="7"/>
  <c r="K206" i="7"/>
  <c r="J206" i="7"/>
  <c r="Q205" i="7"/>
  <c r="P205" i="7"/>
  <c r="O205" i="7"/>
  <c r="N205" i="7"/>
  <c r="M205" i="7"/>
  <c r="L205" i="7"/>
  <c r="K205" i="7"/>
  <c r="J205" i="7"/>
  <c r="Q204" i="7"/>
  <c r="P204" i="7"/>
  <c r="O204" i="7"/>
  <c r="N204" i="7"/>
  <c r="M204" i="7"/>
  <c r="L204" i="7"/>
  <c r="K204" i="7"/>
  <c r="J204" i="7"/>
  <c r="Q203" i="7"/>
  <c r="P203" i="7"/>
  <c r="O203" i="7"/>
  <c r="N203" i="7"/>
  <c r="M203" i="7"/>
  <c r="L203" i="7"/>
  <c r="K203" i="7"/>
  <c r="J203" i="7"/>
  <c r="Q202" i="7"/>
  <c r="P202" i="7"/>
  <c r="O202" i="7"/>
  <c r="N202" i="7"/>
  <c r="M202" i="7"/>
  <c r="L202" i="7"/>
  <c r="K202" i="7"/>
  <c r="J202" i="7"/>
  <c r="Q201" i="7"/>
  <c r="P201" i="7"/>
  <c r="O201" i="7"/>
  <c r="N201" i="7"/>
  <c r="M201" i="7"/>
  <c r="L201" i="7"/>
  <c r="K201" i="7"/>
  <c r="J201" i="7"/>
  <c r="Q200" i="7"/>
  <c r="P200" i="7"/>
  <c r="O200" i="7"/>
  <c r="N200" i="7"/>
  <c r="M200" i="7"/>
  <c r="L200" i="7"/>
  <c r="K200" i="7"/>
  <c r="J200" i="7"/>
  <c r="Q199" i="7"/>
  <c r="P199" i="7"/>
  <c r="O199" i="7"/>
  <c r="N199" i="7"/>
  <c r="M199" i="7"/>
  <c r="L199" i="7"/>
  <c r="K199" i="7"/>
  <c r="J199" i="7"/>
  <c r="Q198" i="7"/>
  <c r="P198" i="7"/>
  <c r="O198" i="7"/>
  <c r="N198" i="7"/>
  <c r="M198" i="7"/>
  <c r="L198" i="7"/>
  <c r="K198" i="7"/>
  <c r="J198" i="7"/>
  <c r="Q197" i="7"/>
  <c r="P197" i="7"/>
  <c r="O197" i="7"/>
  <c r="N197" i="7"/>
  <c r="M197" i="7"/>
  <c r="L197" i="7"/>
  <c r="K197" i="7"/>
  <c r="J197" i="7"/>
  <c r="Q196" i="7"/>
  <c r="P196" i="7"/>
  <c r="O196" i="7"/>
  <c r="N196" i="7"/>
  <c r="M196" i="7"/>
  <c r="L196" i="7"/>
  <c r="K196" i="7"/>
  <c r="J196" i="7"/>
  <c r="Q195" i="7"/>
  <c r="P195" i="7"/>
  <c r="O195" i="7"/>
  <c r="N195" i="7"/>
  <c r="M195" i="7"/>
  <c r="L195" i="7"/>
  <c r="K195" i="7"/>
  <c r="J195" i="7"/>
  <c r="Q194" i="7"/>
  <c r="P194" i="7"/>
  <c r="O194" i="7"/>
  <c r="N194" i="7"/>
  <c r="M194" i="7"/>
  <c r="L194" i="7"/>
  <c r="K194" i="7"/>
  <c r="J194" i="7"/>
  <c r="Q193" i="7"/>
  <c r="P193" i="7"/>
  <c r="O193" i="7"/>
  <c r="N193" i="7"/>
  <c r="M193" i="7"/>
  <c r="L193" i="7"/>
  <c r="K193" i="7"/>
  <c r="J193" i="7"/>
  <c r="Q192" i="7"/>
  <c r="P192" i="7"/>
  <c r="O192" i="7"/>
  <c r="N192" i="7"/>
  <c r="M192" i="7"/>
  <c r="L192" i="7"/>
  <c r="K192" i="7"/>
  <c r="J192" i="7"/>
  <c r="Q191" i="7"/>
  <c r="P191" i="7"/>
  <c r="O191" i="7"/>
  <c r="N191" i="7"/>
  <c r="M191" i="7"/>
  <c r="L191" i="7"/>
  <c r="K191" i="7"/>
  <c r="J191" i="7"/>
  <c r="Q190" i="7"/>
  <c r="P190" i="7"/>
  <c r="O190" i="7"/>
  <c r="N190" i="7"/>
  <c r="M190" i="7"/>
  <c r="L190" i="7"/>
  <c r="K190" i="7"/>
  <c r="J190" i="7"/>
  <c r="Q189" i="7"/>
  <c r="P189" i="7"/>
  <c r="O189" i="7"/>
  <c r="N189" i="7"/>
  <c r="M189" i="7"/>
  <c r="L189" i="7"/>
  <c r="K189" i="7"/>
  <c r="J189" i="7"/>
  <c r="Q188" i="7"/>
  <c r="P188" i="7"/>
  <c r="O188" i="7"/>
  <c r="N188" i="7"/>
  <c r="M188" i="7"/>
  <c r="L188" i="7"/>
  <c r="K188" i="7"/>
  <c r="J188" i="7"/>
  <c r="Q187" i="7"/>
  <c r="P187" i="7"/>
  <c r="O187" i="7"/>
  <c r="N187" i="7"/>
  <c r="M187" i="7"/>
  <c r="L187" i="7"/>
  <c r="K187" i="7"/>
  <c r="J187" i="7"/>
  <c r="Q186" i="7"/>
  <c r="P186" i="7"/>
  <c r="O186" i="7"/>
  <c r="N186" i="7"/>
  <c r="M186" i="7"/>
  <c r="L186" i="7"/>
  <c r="K186" i="7"/>
  <c r="J186" i="7"/>
  <c r="Q185" i="7"/>
  <c r="P185" i="7"/>
  <c r="O185" i="7"/>
  <c r="N185" i="7"/>
  <c r="M185" i="7"/>
  <c r="L185" i="7"/>
  <c r="K185" i="7"/>
  <c r="J185" i="7"/>
  <c r="Q184" i="7"/>
  <c r="P184" i="7"/>
  <c r="O184" i="7"/>
  <c r="N184" i="7"/>
  <c r="M184" i="7"/>
  <c r="L184" i="7"/>
  <c r="K184" i="7"/>
  <c r="J184" i="7"/>
  <c r="Q183" i="7"/>
  <c r="P183" i="7"/>
  <c r="O183" i="7"/>
  <c r="N183" i="7"/>
  <c r="M183" i="7"/>
  <c r="L183" i="7"/>
  <c r="K183" i="7"/>
  <c r="J183" i="7"/>
  <c r="Q182" i="7"/>
  <c r="P182" i="7"/>
  <c r="O182" i="7"/>
  <c r="N182" i="7"/>
  <c r="M182" i="7"/>
  <c r="L182" i="7"/>
  <c r="K182" i="7"/>
  <c r="J182" i="7"/>
  <c r="Q181" i="7"/>
  <c r="P181" i="7"/>
  <c r="O181" i="7"/>
  <c r="N181" i="7"/>
  <c r="M181" i="7"/>
  <c r="L181" i="7"/>
  <c r="K181" i="7"/>
  <c r="J181" i="7"/>
  <c r="Q180" i="7"/>
  <c r="P180" i="7"/>
  <c r="O180" i="7"/>
  <c r="N180" i="7"/>
  <c r="M180" i="7"/>
  <c r="L180" i="7"/>
  <c r="K180" i="7"/>
  <c r="J180" i="7"/>
  <c r="Q179" i="7"/>
  <c r="P179" i="7"/>
  <c r="O179" i="7"/>
  <c r="N179" i="7"/>
  <c r="M179" i="7"/>
  <c r="L179" i="7"/>
  <c r="K179" i="7"/>
  <c r="J179" i="7"/>
  <c r="Q178" i="7"/>
  <c r="P178" i="7"/>
  <c r="O178" i="7"/>
  <c r="N178" i="7"/>
  <c r="M178" i="7"/>
  <c r="L178" i="7"/>
  <c r="K178" i="7"/>
  <c r="J178" i="7"/>
  <c r="Q177" i="7"/>
  <c r="P177" i="7"/>
  <c r="O177" i="7"/>
  <c r="N177" i="7"/>
  <c r="M177" i="7"/>
  <c r="L177" i="7"/>
  <c r="K177" i="7"/>
  <c r="J177" i="7"/>
  <c r="Q176" i="7"/>
  <c r="P176" i="7"/>
  <c r="O176" i="7"/>
  <c r="N176" i="7"/>
  <c r="M176" i="7"/>
  <c r="L176" i="7"/>
  <c r="K176" i="7"/>
  <c r="J176" i="7"/>
  <c r="Q175" i="7"/>
  <c r="P175" i="7"/>
  <c r="O175" i="7"/>
  <c r="N175" i="7"/>
  <c r="M175" i="7"/>
  <c r="L175" i="7"/>
  <c r="K175" i="7"/>
  <c r="J175" i="7"/>
  <c r="Q174" i="7"/>
  <c r="P174" i="7"/>
  <c r="O174" i="7"/>
  <c r="N174" i="7"/>
  <c r="M174" i="7"/>
  <c r="L174" i="7"/>
  <c r="K174" i="7"/>
  <c r="J174" i="7"/>
  <c r="Q173" i="7"/>
  <c r="P173" i="7"/>
  <c r="O173" i="7"/>
  <c r="N173" i="7"/>
  <c r="M173" i="7"/>
  <c r="L173" i="7"/>
  <c r="K173" i="7"/>
  <c r="J173" i="7"/>
  <c r="Q172" i="7"/>
  <c r="P172" i="7"/>
  <c r="O172" i="7"/>
  <c r="N172" i="7"/>
  <c r="M172" i="7"/>
  <c r="L172" i="7"/>
  <c r="K172" i="7"/>
  <c r="J172" i="7"/>
  <c r="Q171" i="7"/>
  <c r="P171" i="7"/>
  <c r="O171" i="7"/>
  <c r="N171" i="7"/>
  <c r="M171" i="7"/>
  <c r="L171" i="7"/>
  <c r="K171" i="7"/>
  <c r="J171" i="7"/>
  <c r="Q170" i="7"/>
  <c r="P170" i="7"/>
  <c r="O170" i="7"/>
  <c r="N170" i="7"/>
  <c r="M170" i="7"/>
  <c r="L170" i="7"/>
  <c r="K170" i="7"/>
  <c r="J170" i="7"/>
  <c r="Q169" i="7"/>
  <c r="P169" i="7"/>
  <c r="O169" i="7"/>
  <c r="N169" i="7"/>
  <c r="M169" i="7"/>
  <c r="L169" i="7"/>
  <c r="K169" i="7"/>
  <c r="J169" i="7"/>
  <c r="Q168" i="7"/>
  <c r="P168" i="7"/>
  <c r="O168" i="7"/>
  <c r="N168" i="7"/>
  <c r="M168" i="7"/>
  <c r="L168" i="7"/>
  <c r="K168" i="7"/>
  <c r="J168" i="7"/>
  <c r="Q167" i="7"/>
  <c r="P167" i="7"/>
  <c r="O167" i="7"/>
  <c r="N167" i="7"/>
  <c r="M167" i="7"/>
  <c r="L167" i="7"/>
  <c r="K167" i="7"/>
  <c r="J167" i="7"/>
  <c r="Q166" i="7"/>
  <c r="P166" i="7"/>
  <c r="O166" i="7"/>
  <c r="N166" i="7"/>
  <c r="M166" i="7"/>
  <c r="L166" i="7"/>
  <c r="K166" i="7"/>
  <c r="J166" i="7"/>
  <c r="Q165" i="7"/>
  <c r="P165" i="7"/>
  <c r="O165" i="7"/>
  <c r="N165" i="7"/>
  <c r="M165" i="7"/>
  <c r="L165" i="7"/>
  <c r="K165" i="7"/>
  <c r="J165" i="7"/>
  <c r="Q164" i="7"/>
  <c r="P164" i="7"/>
  <c r="O164" i="7"/>
  <c r="N164" i="7"/>
  <c r="M164" i="7"/>
  <c r="L164" i="7"/>
  <c r="K164" i="7"/>
  <c r="J164" i="7"/>
  <c r="Q163" i="7"/>
  <c r="P163" i="7"/>
  <c r="O163" i="7"/>
  <c r="N163" i="7"/>
  <c r="M163" i="7"/>
  <c r="L163" i="7"/>
  <c r="K163" i="7"/>
  <c r="J163" i="7"/>
  <c r="Q162" i="7"/>
  <c r="P162" i="7"/>
  <c r="O162" i="7"/>
  <c r="N162" i="7"/>
  <c r="M162" i="7"/>
  <c r="L162" i="7"/>
  <c r="K162" i="7"/>
  <c r="J162" i="7"/>
  <c r="Q161" i="7"/>
  <c r="P161" i="7"/>
  <c r="O161" i="7"/>
  <c r="N161" i="7"/>
  <c r="M161" i="7"/>
  <c r="L161" i="7"/>
  <c r="K161" i="7"/>
  <c r="J161" i="7"/>
  <c r="Q160" i="7"/>
  <c r="P160" i="7"/>
  <c r="O160" i="7"/>
  <c r="N160" i="7"/>
  <c r="M160" i="7"/>
  <c r="L160" i="7"/>
  <c r="K160" i="7"/>
  <c r="J160" i="7"/>
  <c r="Q159" i="7"/>
  <c r="P159" i="7"/>
  <c r="O159" i="7"/>
  <c r="N159" i="7"/>
  <c r="M159" i="7"/>
  <c r="L159" i="7"/>
  <c r="K159" i="7"/>
  <c r="J159" i="7"/>
  <c r="Q158" i="7"/>
  <c r="P158" i="7"/>
  <c r="O158" i="7"/>
  <c r="N158" i="7"/>
  <c r="M158" i="7"/>
  <c r="L158" i="7"/>
  <c r="K158" i="7"/>
  <c r="J158" i="7"/>
  <c r="Q157" i="7"/>
  <c r="P157" i="7"/>
  <c r="O157" i="7"/>
  <c r="N157" i="7"/>
  <c r="M157" i="7"/>
  <c r="L157" i="7"/>
  <c r="K157" i="7"/>
  <c r="J157" i="7"/>
  <c r="Q156" i="7"/>
  <c r="P156" i="7"/>
  <c r="O156" i="7"/>
  <c r="N156" i="7"/>
  <c r="M156" i="7"/>
  <c r="L156" i="7"/>
  <c r="K156" i="7"/>
  <c r="J156" i="7"/>
  <c r="Q155" i="7"/>
  <c r="P155" i="7"/>
  <c r="O155" i="7"/>
  <c r="N155" i="7"/>
  <c r="M155" i="7"/>
  <c r="L155" i="7"/>
  <c r="K155" i="7"/>
  <c r="J155" i="7"/>
  <c r="Q154" i="7"/>
  <c r="P154" i="7"/>
  <c r="O154" i="7"/>
  <c r="N154" i="7"/>
  <c r="M154" i="7"/>
  <c r="L154" i="7"/>
  <c r="K154" i="7"/>
  <c r="J154" i="7"/>
  <c r="Q153" i="7"/>
  <c r="P153" i="7"/>
  <c r="O153" i="7"/>
  <c r="N153" i="7"/>
  <c r="M153" i="7"/>
  <c r="L153" i="7"/>
  <c r="K153" i="7"/>
  <c r="J153" i="7"/>
  <c r="Q152" i="7"/>
  <c r="P152" i="7"/>
  <c r="O152" i="7"/>
  <c r="N152" i="7"/>
  <c r="M152" i="7"/>
  <c r="L152" i="7"/>
  <c r="K152" i="7"/>
  <c r="J152" i="7"/>
  <c r="Q151" i="7"/>
  <c r="P151" i="7"/>
  <c r="O151" i="7"/>
  <c r="N151" i="7"/>
  <c r="M151" i="7"/>
  <c r="L151" i="7"/>
  <c r="K151" i="7"/>
  <c r="J151" i="7"/>
  <c r="Q150" i="7"/>
  <c r="P150" i="7"/>
  <c r="O150" i="7"/>
  <c r="N150" i="7"/>
  <c r="M150" i="7"/>
  <c r="L150" i="7"/>
  <c r="K150" i="7"/>
  <c r="J150" i="7"/>
  <c r="Q149" i="7"/>
  <c r="P149" i="7"/>
  <c r="O149" i="7"/>
  <c r="N149" i="7"/>
  <c r="M149" i="7"/>
  <c r="L149" i="7"/>
  <c r="K149" i="7"/>
  <c r="J149" i="7"/>
  <c r="Q148" i="7"/>
  <c r="P148" i="7"/>
  <c r="O148" i="7"/>
  <c r="N148" i="7"/>
  <c r="M148" i="7"/>
  <c r="L148" i="7"/>
  <c r="K148" i="7"/>
  <c r="J148" i="7"/>
  <c r="Q147" i="7"/>
  <c r="P147" i="7"/>
  <c r="O147" i="7"/>
  <c r="N147" i="7"/>
  <c r="M147" i="7"/>
  <c r="L147" i="7"/>
  <c r="K147" i="7"/>
  <c r="J147" i="7"/>
  <c r="Q146" i="7"/>
  <c r="P146" i="7"/>
  <c r="O146" i="7"/>
  <c r="N146" i="7"/>
  <c r="M146" i="7"/>
  <c r="L146" i="7"/>
  <c r="K146" i="7"/>
  <c r="J146" i="7"/>
  <c r="Q145" i="7"/>
  <c r="P145" i="7"/>
  <c r="O145" i="7"/>
  <c r="N145" i="7"/>
  <c r="M145" i="7"/>
  <c r="L145" i="7"/>
  <c r="K145" i="7"/>
  <c r="J145" i="7"/>
  <c r="Q144" i="7"/>
  <c r="P144" i="7"/>
  <c r="O144" i="7"/>
  <c r="N144" i="7"/>
  <c r="M144" i="7"/>
  <c r="L144" i="7"/>
  <c r="K144" i="7"/>
  <c r="J144" i="7"/>
  <c r="Q143" i="7"/>
  <c r="P143" i="7"/>
  <c r="O143" i="7"/>
  <c r="N143" i="7"/>
  <c r="M143" i="7"/>
  <c r="L143" i="7"/>
  <c r="K143" i="7"/>
  <c r="J143" i="7"/>
  <c r="Q142" i="7"/>
  <c r="P142" i="7"/>
  <c r="O142" i="7"/>
  <c r="N142" i="7"/>
  <c r="M142" i="7"/>
  <c r="L142" i="7"/>
  <c r="K142" i="7"/>
  <c r="J142" i="7"/>
  <c r="Q141" i="7"/>
  <c r="P141" i="7"/>
  <c r="O141" i="7"/>
  <c r="N141" i="7"/>
  <c r="M141" i="7"/>
  <c r="L141" i="7"/>
  <c r="K141" i="7"/>
  <c r="J141" i="7"/>
  <c r="Q140" i="7"/>
  <c r="P140" i="7"/>
  <c r="O140" i="7"/>
  <c r="N140" i="7"/>
  <c r="M140" i="7"/>
  <c r="L140" i="7"/>
  <c r="K140" i="7"/>
  <c r="J140" i="7"/>
  <c r="Q139" i="7"/>
  <c r="P139" i="7"/>
  <c r="O139" i="7"/>
  <c r="N139" i="7"/>
  <c r="M139" i="7"/>
  <c r="L139" i="7"/>
  <c r="K139" i="7"/>
  <c r="J139" i="7"/>
  <c r="Q138" i="7"/>
  <c r="P138" i="7"/>
  <c r="O138" i="7"/>
  <c r="N138" i="7"/>
  <c r="M138" i="7"/>
  <c r="L138" i="7"/>
  <c r="K138" i="7"/>
  <c r="J138" i="7"/>
  <c r="Q137" i="7"/>
  <c r="P137" i="7"/>
  <c r="O137" i="7"/>
  <c r="N137" i="7"/>
  <c r="M137" i="7"/>
  <c r="L137" i="7"/>
  <c r="K137" i="7"/>
  <c r="J137" i="7"/>
  <c r="Q136" i="7"/>
  <c r="P136" i="7"/>
  <c r="O136" i="7"/>
  <c r="N136" i="7"/>
  <c r="M136" i="7"/>
  <c r="L136" i="7"/>
  <c r="K136" i="7"/>
  <c r="J136" i="7"/>
  <c r="Q135" i="7"/>
  <c r="P135" i="7"/>
  <c r="O135" i="7"/>
  <c r="N135" i="7"/>
  <c r="M135" i="7"/>
  <c r="L135" i="7"/>
  <c r="K135" i="7"/>
  <c r="J135" i="7"/>
  <c r="Q134" i="7"/>
  <c r="P134" i="7"/>
  <c r="O134" i="7"/>
  <c r="N134" i="7"/>
  <c r="M134" i="7"/>
  <c r="L134" i="7"/>
  <c r="K134" i="7"/>
  <c r="J134" i="7"/>
  <c r="Q133" i="7"/>
  <c r="P133" i="7"/>
  <c r="O133" i="7"/>
  <c r="N133" i="7"/>
  <c r="M133" i="7"/>
  <c r="L133" i="7"/>
  <c r="K133" i="7"/>
  <c r="J133" i="7"/>
  <c r="Q132" i="7"/>
  <c r="P132" i="7"/>
  <c r="O132" i="7"/>
  <c r="N132" i="7"/>
  <c r="M132" i="7"/>
  <c r="L132" i="7"/>
  <c r="K132" i="7"/>
  <c r="J132" i="7"/>
  <c r="Q131" i="7"/>
  <c r="P131" i="7"/>
  <c r="O131" i="7"/>
  <c r="N131" i="7"/>
  <c r="M131" i="7"/>
  <c r="L131" i="7"/>
  <c r="K131" i="7"/>
  <c r="J131" i="7"/>
  <c r="Q130" i="7"/>
  <c r="P130" i="7"/>
  <c r="O130" i="7"/>
  <c r="N130" i="7"/>
  <c r="M130" i="7"/>
  <c r="L130" i="7"/>
  <c r="K130" i="7"/>
  <c r="J130" i="7"/>
  <c r="Q129" i="7"/>
  <c r="P129" i="7"/>
  <c r="O129" i="7"/>
  <c r="N129" i="7"/>
  <c r="M129" i="7"/>
  <c r="L129" i="7"/>
  <c r="K129" i="7"/>
  <c r="J129" i="7"/>
  <c r="Q128" i="7"/>
  <c r="P128" i="7"/>
  <c r="O128" i="7"/>
  <c r="N128" i="7"/>
  <c r="M128" i="7"/>
  <c r="L128" i="7"/>
  <c r="K128" i="7"/>
  <c r="J128" i="7"/>
  <c r="Q127" i="7"/>
  <c r="P127" i="7"/>
  <c r="O127" i="7"/>
  <c r="N127" i="7"/>
  <c r="M127" i="7"/>
  <c r="L127" i="7"/>
  <c r="K127" i="7"/>
  <c r="J127" i="7"/>
  <c r="Q126" i="7"/>
  <c r="P126" i="7"/>
  <c r="O126" i="7"/>
  <c r="N126" i="7"/>
  <c r="M126" i="7"/>
  <c r="L126" i="7"/>
  <c r="K126" i="7"/>
  <c r="J126" i="7"/>
  <c r="Q125" i="7"/>
  <c r="P125" i="7"/>
  <c r="O125" i="7"/>
  <c r="N125" i="7"/>
  <c r="M125" i="7"/>
  <c r="L125" i="7"/>
  <c r="K125" i="7"/>
  <c r="J125" i="7"/>
  <c r="Q124" i="7"/>
  <c r="P124" i="7"/>
  <c r="O124" i="7"/>
  <c r="N124" i="7"/>
  <c r="M124" i="7"/>
  <c r="L124" i="7"/>
  <c r="K124" i="7"/>
  <c r="J124" i="7"/>
  <c r="Q123" i="7"/>
  <c r="P123" i="7"/>
  <c r="O123" i="7"/>
  <c r="N123" i="7"/>
  <c r="M123" i="7"/>
  <c r="L123" i="7"/>
  <c r="K123" i="7"/>
  <c r="J123" i="7"/>
  <c r="Q122" i="7"/>
  <c r="P122" i="7"/>
  <c r="O122" i="7"/>
  <c r="N122" i="7"/>
  <c r="M122" i="7"/>
  <c r="L122" i="7"/>
  <c r="K122" i="7"/>
  <c r="J122" i="7"/>
  <c r="Q121" i="7"/>
  <c r="P121" i="7"/>
  <c r="O121" i="7"/>
  <c r="N121" i="7"/>
  <c r="M121" i="7"/>
  <c r="L121" i="7"/>
  <c r="K121" i="7"/>
  <c r="J121" i="7"/>
  <c r="Q120" i="7"/>
  <c r="P120" i="7"/>
  <c r="O120" i="7"/>
  <c r="N120" i="7"/>
  <c r="M120" i="7"/>
  <c r="L120" i="7"/>
  <c r="K120" i="7"/>
  <c r="J120" i="7"/>
  <c r="Q119" i="7"/>
  <c r="P119" i="7"/>
  <c r="O119" i="7"/>
  <c r="N119" i="7"/>
  <c r="M119" i="7"/>
  <c r="L119" i="7"/>
  <c r="K119" i="7"/>
  <c r="J119" i="7"/>
  <c r="Q118" i="7"/>
  <c r="P118" i="7"/>
  <c r="O118" i="7"/>
  <c r="N118" i="7"/>
  <c r="M118" i="7"/>
  <c r="L118" i="7"/>
  <c r="K118" i="7"/>
  <c r="J118" i="7"/>
  <c r="Q117" i="7"/>
  <c r="P117" i="7"/>
  <c r="O117" i="7"/>
  <c r="N117" i="7"/>
  <c r="M117" i="7"/>
  <c r="L117" i="7"/>
  <c r="K117" i="7"/>
  <c r="J117" i="7"/>
  <c r="Q116" i="7"/>
  <c r="P116" i="7"/>
  <c r="O116" i="7"/>
  <c r="N116" i="7"/>
  <c r="M116" i="7"/>
  <c r="L116" i="7"/>
  <c r="K116" i="7"/>
  <c r="J116" i="7"/>
  <c r="Q115" i="7"/>
  <c r="P115" i="7"/>
  <c r="O115" i="7"/>
  <c r="N115" i="7"/>
  <c r="M115" i="7"/>
  <c r="L115" i="7"/>
  <c r="K115" i="7"/>
  <c r="J115" i="7"/>
  <c r="Q114" i="7"/>
  <c r="P114" i="7"/>
  <c r="O114" i="7"/>
  <c r="N114" i="7"/>
  <c r="M114" i="7"/>
  <c r="L114" i="7"/>
  <c r="K114" i="7"/>
  <c r="J114" i="7"/>
  <c r="Q113" i="7"/>
  <c r="P113" i="7"/>
  <c r="O113" i="7"/>
  <c r="N113" i="7"/>
  <c r="M113" i="7"/>
  <c r="L113" i="7"/>
  <c r="K113" i="7"/>
  <c r="J113" i="7"/>
  <c r="Q112" i="7"/>
  <c r="P112" i="7"/>
  <c r="O112" i="7"/>
  <c r="N112" i="7"/>
  <c r="M112" i="7"/>
  <c r="L112" i="7"/>
  <c r="K112" i="7"/>
  <c r="J112" i="7"/>
  <c r="Q111" i="7"/>
  <c r="P111" i="7"/>
  <c r="O111" i="7"/>
  <c r="N111" i="7"/>
  <c r="M111" i="7"/>
  <c r="L111" i="7"/>
  <c r="K111" i="7"/>
  <c r="J111" i="7"/>
  <c r="Q110" i="7"/>
  <c r="P110" i="7"/>
  <c r="O110" i="7"/>
  <c r="N110" i="7"/>
  <c r="M110" i="7"/>
  <c r="L110" i="7"/>
  <c r="K110" i="7"/>
  <c r="J110" i="7"/>
  <c r="Q109" i="7"/>
  <c r="P109" i="7"/>
  <c r="O109" i="7"/>
  <c r="N109" i="7"/>
  <c r="M109" i="7"/>
  <c r="L109" i="7"/>
  <c r="K109" i="7"/>
  <c r="J109" i="7"/>
  <c r="Q108" i="7"/>
  <c r="P108" i="7"/>
  <c r="O108" i="7"/>
  <c r="N108" i="7"/>
  <c r="M108" i="7"/>
  <c r="L108" i="7"/>
  <c r="K108" i="7"/>
  <c r="J108" i="7"/>
  <c r="Q107" i="7"/>
  <c r="P107" i="7"/>
  <c r="O107" i="7"/>
  <c r="N107" i="7"/>
  <c r="M107" i="7"/>
  <c r="L107" i="7"/>
  <c r="K107" i="7"/>
  <c r="J107" i="7"/>
  <c r="Q106" i="7"/>
  <c r="P106" i="7"/>
  <c r="O106" i="7"/>
  <c r="N106" i="7"/>
  <c r="M106" i="7"/>
  <c r="L106" i="7"/>
  <c r="K106" i="7"/>
  <c r="J106" i="7"/>
  <c r="Q105" i="7"/>
  <c r="P105" i="7"/>
  <c r="O105" i="7"/>
  <c r="N105" i="7"/>
  <c r="M105" i="7"/>
  <c r="L105" i="7"/>
  <c r="K105" i="7"/>
  <c r="J105" i="7"/>
  <c r="Q104" i="7"/>
  <c r="P104" i="7"/>
  <c r="O104" i="7"/>
  <c r="N104" i="7"/>
  <c r="M104" i="7"/>
  <c r="L104" i="7"/>
  <c r="K104" i="7"/>
  <c r="J104" i="7"/>
  <c r="Q103" i="7"/>
  <c r="P103" i="7"/>
  <c r="O103" i="7"/>
  <c r="N103" i="7"/>
  <c r="M103" i="7"/>
  <c r="L103" i="7"/>
  <c r="K103" i="7"/>
  <c r="J103" i="7"/>
  <c r="Q102" i="7"/>
  <c r="P102" i="7"/>
  <c r="O102" i="7"/>
  <c r="N102" i="7"/>
  <c r="M102" i="7"/>
  <c r="L102" i="7"/>
  <c r="K102" i="7"/>
  <c r="J102" i="7"/>
  <c r="Q101" i="7"/>
  <c r="P101" i="7"/>
  <c r="O101" i="7"/>
  <c r="N101" i="7"/>
  <c r="M101" i="7"/>
  <c r="L101" i="7"/>
  <c r="K101" i="7"/>
  <c r="J101" i="7"/>
  <c r="Q100" i="7"/>
  <c r="P100" i="7"/>
  <c r="O100" i="7"/>
  <c r="N100" i="7"/>
  <c r="M100" i="7"/>
  <c r="L100" i="7"/>
  <c r="K100" i="7"/>
  <c r="J100" i="7"/>
  <c r="Q99" i="7"/>
  <c r="P99" i="7"/>
  <c r="O99" i="7"/>
  <c r="N99" i="7"/>
  <c r="M99" i="7"/>
  <c r="L99" i="7"/>
  <c r="K99" i="7"/>
  <c r="J99" i="7"/>
  <c r="Q98" i="7"/>
  <c r="P98" i="7"/>
  <c r="O98" i="7"/>
  <c r="N98" i="7"/>
  <c r="M98" i="7"/>
  <c r="L98" i="7"/>
  <c r="K98" i="7"/>
  <c r="J98" i="7"/>
  <c r="Q97" i="7"/>
  <c r="P97" i="7"/>
  <c r="O97" i="7"/>
  <c r="N97" i="7"/>
  <c r="M97" i="7"/>
  <c r="L97" i="7"/>
  <c r="K97" i="7"/>
  <c r="J97" i="7"/>
  <c r="Q96" i="7"/>
  <c r="P96" i="7"/>
  <c r="O96" i="7"/>
  <c r="N96" i="7"/>
  <c r="M96" i="7"/>
  <c r="L96" i="7"/>
  <c r="K96" i="7"/>
  <c r="J96" i="7"/>
  <c r="Q95" i="7"/>
  <c r="P95" i="7"/>
  <c r="O95" i="7"/>
  <c r="N95" i="7"/>
  <c r="M95" i="7"/>
  <c r="L95" i="7"/>
  <c r="K95" i="7"/>
  <c r="J95" i="7"/>
  <c r="Q94" i="7"/>
  <c r="P94" i="7"/>
  <c r="O94" i="7"/>
  <c r="N94" i="7"/>
  <c r="M94" i="7"/>
  <c r="L94" i="7"/>
  <c r="K94" i="7"/>
  <c r="J94" i="7"/>
  <c r="Q93" i="7"/>
  <c r="P93" i="7"/>
  <c r="O93" i="7"/>
  <c r="N93" i="7"/>
  <c r="M93" i="7"/>
  <c r="L93" i="7"/>
  <c r="K93" i="7"/>
  <c r="J93" i="7"/>
  <c r="Q92" i="7"/>
  <c r="P92" i="7"/>
  <c r="O92" i="7"/>
  <c r="N92" i="7"/>
  <c r="M92" i="7"/>
  <c r="L92" i="7"/>
  <c r="K92" i="7"/>
  <c r="J92" i="7"/>
  <c r="Q91" i="7"/>
  <c r="P91" i="7"/>
  <c r="O91" i="7"/>
  <c r="N91" i="7"/>
  <c r="M91" i="7"/>
  <c r="L91" i="7"/>
  <c r="K91" i="7"/>
  <c r="J91" i="7"/>
  <c r="Q90" i="7"/>
  <c r="P90" i="7"/>
  <c r="O90" i="7"/>
  <c r="N90" i="7"/>
  <c r="M90" i="7"/>
  <c r="L90" i="7"/>
  <c r="K90" i="7"/>
  <c r="J90" i="7"/>
  <c r="Q89" i="7"/>
  <c r="P89" i="7"/>
  <c r="O89" i="7"/>
  <c r="N89" i="7"/>
  <c r="M89" i="7"/>
  <c r="L89" i="7"/>
  <c r="K89" i="7"/>
  <c r="J89" i="7"/>
  <c r="Q88" i="7"/>
  <c r="P88" i="7"/>
  <c r="O88" i="7"/>
  <c r="N88" i="7"/>
  <c r="M88" i="7"/>
  <c r="L88" i="7"/>
  <c r="K88" i="7"/>
  <c r="J88" i="7"/>
  <c r="Q87" i="7"/>
  <c r="P87" i="7"/>
  <c r="O87" i="7"/>
  <c r="N87" i="7"/>
  <c r="M87" i="7"/>
  <c r="L87" i="7"/>
  <c r="K87" i="7"/>
  <c r="J87" i="7"/>
  <c r="Q86" i="7"/>
  <c r="P86" i="7"/>
  <c r="O86" i="7"/>
  <c r="N86" i="7"/>
  <c r="M86" i="7"/>
  <c r="L86" i="7"/>
  <c r="K86" i="7"/>
  <c r="J86" i="7"/>
  <c r="Q85" i="7"/>
  <c r="P85" i="7"/>
  <c r="O85" i="7"/>
  <c r="N85" i="7"/>
  <c r="M85" i="7"/>
  <c r="L85" i="7"/>
  <c r="K85" i="7"/>
  <c r="J85" i="7"/>
  <c r="Q84" i="7"/>
  <c r="P84" i="7"/>
  <c r="O84" i="7"/>
  <c r="N84" i="7"/>
  <c r="M84" i="7"/>
  <c r="L84" i="7"/>
  <c r="K84" i="7"/>
  <c r="J84" i="7"/>
  <c r="Q83" i="7"/>
  <c r="P83" i="7"/>
  <c r="O83" i="7"/>
  <c r="N83" i="7"/>
  <c r="M83" i="7"/>
  <c r="L83" i="7"/>
  <c r="K83" i="7"/>
  <c r="J83" i="7"/>
  <c r="Q82" i="7"/>
  <c r="P82" i="7"/>
  <c r="O82" i="7"/>
  <c r="N82" i="7"/>
  <c r="M82" i="7"/>
  <c r="L82" i="7"/>
  <c r="K82" i="7"/>
  <c r="J82" i="7"/>
  <c r="Q81" i="7"/>
  <c r="P81" i="7"/>
  <c r="O81" i="7"/>
  <c r="N81" i="7"/>
  <c r="M81" i="7"/>
  <c r="L81" i="7"/>
  <c r="K81" i="7"/>
  <c r="J81" i="7"/>
  <c r="Q80" i="7"/>
  <c r="P80" i="7"/>
  <c r="O80" i="7"/>
  <c r="N80" i="7"/>
  <c r="M80" i="7"/>
  <c r="L80" i="7"/>
  <c r="K80" i="7"/>
  <c r="J80" i="7"/>
  <c r="Q79" i="7"/>
  <c r="P79" i="7"/>
  <c r="O79" i="7"/>
  <c r="N79" i="7"/>
  <c r="M79" i="7"/>
  <c r="L79" i="7"/>
  <c r="K79" i="7"/>
  <c r="J79" i="7"/>
  <c r="Q78" i="7"/>
  <c r="P78" i="7"/>
  <c r="O78" i="7"/>
  <c r="N78" i="7"/>
  <c r="M78" i="7"/>
  <c r="L78" i="7"/>
  <c r="K78" i="7"/>
  <c r="J78" i="7"/>
  <c r="Q77" i="7"/>
  <c r="P77" i="7"/>
  <c r="O77" i="7"/>
  <c r="N77" i="7"/>
  <c r="M77" i="7"/>
  <c r="L77" i="7"/>
  <c r="K77" i="7"/>
  <c r="J77" i="7"/>
  <c r="Q76" i="7"/>
  <c r="P76" i="7"/>
  <c r="O76" i="7"/>
  <c r="N76" i="7"/>
  <c r="M76" i="7"/>
  <c r="L76" i="7"/>
  <c r="K76" i="7"/>
  <c r="J76" i="7"/>
  <c r="Q75" i="7"/>
  <c r="P75" i="7"/>
  <c r="O75" i="7"/>
  <c r="N75" i="7"/>
  <c r="M75" i="7"/>
  <c r="L75" i="7"/>
  <c r="K75" i="7"/>
  <c r="J75" i="7"/>
  <c r="Q74" i="7"/>
  <c r="P74" i="7"/>
  <c r="O74" i="7"/>
  <c r="N74" i="7"/>
  <c r="M74" i="7"/>
  <c r="L74" i="7"/>
  <c r="K74" i="7"/>
  <c r="J74" i="7"/>
  <c r="Q73" i="7"/>
  <c r="P73" i="7"/>
  <c r="O73" i="7"/>
  <c r="N73" i="7"/>
  <c r="M73" i="7"/>
  <c r="L73" i="7"/>
  <c r="K73" i="7"/>
  <c r="J73" i="7"/>
  <c r="Q72" i="7"/>
  <c r="P72" i="7"/>
  <c r="O72" i="7"/>
  <c r="N72" i="7"/>
  <c r="M72" i="7"/>
  <c r="L72" i="7"/>
  <c r="K72" i="7"/>
  <c r="J72" i="7"/>
  <c r="Q71" i="7"/>
  <c r="P71" i="7"/>
  <c r="O71" i="7"/>
  <c r="N71" i="7"/>
  <c r="M71" i="7"/>
  <c r="L71" i="7"/>
  <c r="K71" i="7"/>
  <c r="J71" i="7"/>
  <c r="Q70" i="7"/>
  <c r="P70" i="7"/>
  <c r="O70" i="7"/>
  <c r="N70" i="7"/>
  <c r="M70" i="7"/>
  <c r="L70" i="7"/>
  <c r="K70" i="7"/>
  <c r="J70" i="7"/>
  <c r="Q69" i="7"/>
  <c r="P69" i="7"/>
  <c r="O69" i="7"/>
  <c r="N69" i="7"/>
  <c r="M69" i="7"/>
  <c r="L69" i="7"/>
  <c r="K69" i="7"/>
  <c r="J69" i="7"/>
  <c r="Q68" i="7"/>
  <c r="P68" i="7"/>
  <c r="O68" i="7"/>
  <c r="N68" i="7"/>
  <c r="M68" i="7"/>
  <c r="L68" i="7"/>
  <c r="K68" i="7"/>
  <c r="J68" i="7"/>
  <c r="Q67" i="7"/>
  <c r="P67" i="7"/>
  <c r="O67" i="7"/>
  <c r="N67" i="7"/>
  <c r="M67" i="7"/>
  <c r="L67" i="7"/>
  <c r="K67" i="7"/>
  <c r="J67" i="7"/>
  <c r="Q66" i="7"/>
  <c r="P66" i="7"/>
  <c r="O66" i="7"/>
  <c r="N66" i="7"/>
  <c r="M66" i="7"/>
  <c r="L66" i="7"/>
  <c r="K66" i="7"/>
  <c r="J66" i="7"/>
  <c r="Q65" i="7"/>
  <c r="P65" i="7"/>
  <c r="O65" i="7"/>
  <c r="N65" i="7"/>
  <c r="M65" i="7"/>
  <c r="L65" i="7"/>
  <c r="K65" i="7"/>
  <c r="J65" i="7"/>
  <c r="Q64" i="7"/>
  <c r="P64" i="7"/>
  <c r="O64" i="7"/>
  <c r="N64" i="7"/>
  <c r="M64" i="7"/>
  <c r="L64" i="7"/>
  <c r="K64" i="7"/>
  <c r="J64" i="7"/>
  <c r="Q63" i="7"/>
  <c r="P63" i="7"/>
  <c r="O63" i="7"/>
  <c r="N63" i="7"/>
  <c r="M63" i="7"/>
  <c r="L63" i="7"/>
  <c r="K63" i="7"/>
  <c r="J63" i="7"/>
  <c r="Q62" i="7"/>
  <c r="P62" i="7"/>
  <c r="O62" i="7"/>
  <c r="N62" i="7"/>
  <c r="M62" i="7"/>
  <c r="L62" i="7"/>
  <c r="K62" i="7"/>
  <c r="J62" i="7"/>
  <c r="Q61" i="7"/>
  <c r="P61" i="7"/>
  <c r="O61" i="7"/>
  <c r="N61" i="7"/>
  <c r="M61" i="7"/>
  <c r="L61" i="7"/>
  <c r="K61" i="7"/>
  <c r="J61" i="7"/>
  <c r="Q60" i="7"/>
  <c r="P60" i="7"/>
  <c r="O60" i="7"/>
  <c r="N60" i="7"/>
  <c r="M60" i="7"/>
  <c r="L60" i="7"/>
  <c r="K60" i="7"/>
  <c r="J60" i="7"/>
  <c r="Q59" i="7"/>
  <c r="P59" i="7"/>
  <c r="O59" i="7"/>
  <c r="N59" i="7"/>
  <c r="M59" i="7"/>
  <c r="L59" i="7"/>
  <c r="K59" i="7"/>
  <c r="J59" i="7"/>
  <c r="Q58" i="7"/>
  <c r="P58" i="7"/>
  <c r="O58" i="7"/>
  <c r="N58" i="7"/>
  <c r="M58" i="7"/>
  <c r="L58" i="7"/>
  <c r="K58" i="7"/>
  <c r="J58" i="7"/>
  <c r="Q57" i="7"/>
  <c r="P57" i="7"/>
  <c r="O57" i="7"/>
  <c r="N57" i="7"/>
  <c r="M57" i="7"/>
  <c r="L57" i="7"/>
  <c r="K57" i="7"/>
  <c r="J57" i="7"/>
  <c r="Q56" i="7"/>
  <c r="P56" i="7"/>
  <c r="O56" i="7"/>
  <c r="N56" i="7"/>
  <c r="M56" i="7"/>
  <c r="L56" i="7"/>
  <c r="K56" i="7"/>
  <c r="J56" i="7"/>
  <c r="Q55" i="7"/>
  <c r="P55" i="7"/>
  <c r="O55" i="7"/>
  <c r="N55" i="7"/>
  <c r="M55" i="7"/>
  <c r="L55" i="7"/>
  <c r="K55" i="7"/>
  <c r="J55" i="7"/>
  <c r="Q54" i="7"/>
  <c r="P54" i="7"/>
  <c r="O54" i="7"/>
  <c r="N54" i="7"/>
  <c r="M54" i="7"/>
  <c r="L54" i="7"/>
  <c r="K54" i="7"/>
  <c r="J54" i="7"/>
  <c r="Q53" i="7"/>
  <c r="P53" i="7"/>
  <c r="O53" i="7"/>
  <c r="N53" i="7"/>
  <c r="M53" i="7"/>
  <c r="L53" i="7"/>
  <c r="K53" i="7"/>
  <c r="J53" i="7"/>
  <c r="Q52" i="7"/>
  <c r="P52" i="7"/>
  <c r="O52" i="7"/>
  <c r="N52" i="7"/>
  <c r="M52" i="7"/>
  <c r="L52" i="7"/>
  <c r="K52" i="7"/>
  <c r="J52" i="7"/>
  <c r="Q51" i="7"/>
  <c r="P51" i="7"/>
  <c r="O51" i="7"/>
  <c r="N51" i="7"/>
  <c r="M51" i="7"/>
  <c r="L51" i="7"/>
  <c r="K51" i="7"/>
  <c r="J51" i="7"/>
  <c r="Q50" i="7"/>
  <c r="P50" i="7"/>
  <c r="O50" i="7"/>
  <c r="N50" i="7"/>
  <c r="M50" i="7"/>
  <c r="L50" i="7"/>
  <c r="K50" i="7"/>
  <c r="J50" i="7"/>
  <c r="Q49" i="7"/>
  <c r="P49" i="7"/>
  <c r="O49" i="7"/>
  <c r="N49" i="7"/>
  <c r="M49" i="7"/>
  <c r="L49" i="7"/>
  <c r="K49" i="7"/>
  <c r="J49" i="7"/>
  <c r="Q48" i="7"/>
  <c r="P48" i="7"/>
  <c r="O48" i="7"/>
  <c r="N48" i="7"/>
  <c r="M48" i="7"/>
  <c r="L48" i="7"/>
  <c r="K48" i="7"/>
  <c r="J48" i="7"/>
  <c r="Q47" i="7"/>
  <c r="P47" i="7"/>
  <c r="O47" i="7"/>
  <c r="N47" i="7"/>
  <c r="M47" i="7"/>
  <c r="L47" i="7"/>
  <c r="K47" i="7"/>
  <c r="J47" i="7"/>
  <c r="Q46" i="7"/>
  <c r="P46" i="7"/>
  <c r="O46" i="7"/>
  <c r="N46" i="7"/>
  <c r="M46" i="7"/>
  <c r="L46" i="7"/>
  <c r="K46" i="7"/>
  <c r="J46" i="7"/>
  <c r="Q45" i="7"/>
  <c r="P45" i="7"/>
  <c r="O45" i="7"/>
  <c r="N45" i="7"/>
  <c r="M45" i="7"/>
  <c r="L45" i="7"/>
  <c r="K45" i="7"/>
  <c r="J45" i="7"/>
  <c r="Q44" i="7"/>
  <c r="P44" i="7"/>
  <c r="O44" i="7"/>
  <c r="N44" i="7"/>
  <c r="M44" i="7"/>
  <c r="L44" i="7"/>
  <c r="K44" i="7"/>
  <c r="J44" i="7"/>
  <c r="Q43" i="7"/>
  <c r="P43" i="7"/>
  <c r="O43" i="7"/>
  <c r="N43" i="7"/>
  <c r="M43" i="7"/>
  <c r="L43" i="7"/>
  <c r="K43" i="7"/>
  <c r="J43" i="7"/>
  <c r="Q42" i="7"/>
  <c r="P42" i="7"/>
  <c r="O42" i="7"/>
  <c r="N42" i="7"/>
  <c r="M42" i="7"/>
  <c r="L42" i="7"/>
  <c r="K42" i="7"/>
  <c r="J42" i="7"/>
  <c r="Q41" i="7"/>
  <c r="P41" i="7"/>
  <c r="O41" i="7"/>
  <c r="N41" i="7"/>
  <c r="M41" i="7"/>
  <c r="L41" i="7"/>
  <c r="K41" i="7"/>
  <c r="J41" i="7"/>
  <c r="Q40" i="7"/>
  <c r="P40" i="7"/>
  <c r="O40" i="7"/>
  <c r="N40" i="7"/>
  <c r="M40" i="7"/>
  <c r="L40" i="7"/>
  <c r="K40" i="7"/>
  <c r="J40" i="7"/>
  <c r="Q39" i="7"/>
  <c r="P39" i="7"/>
  <c r="O39" i="7"/>
  <c r="N39" i="7"/>
  <c r="M39" i="7"/>
  <c r="L39" i="7"/>
  <c r="R39" i="7" s="1"/>
  <c r="K39" i="7"/>
  <c r="J39" i="7"/>
  <c r="Q38" i="7"/>
  <c r="P38" i="7"/>
  <c r="O38" i="7"/>
  <c r="N38" i="7"/>
  <c r="M38" i="7"/>
  <c r="L38" i="7"/>
  <c r="K38" i="7"/>
  <c r="J38" i="7"/>
  <c r="Q37" i="7"/>
  <c r="P37" i="7"/>
  <c r="O37" i="7"/>
  <c r="N37" i="7"/>
  <c r="M37" i="7"/>
  <c r="L37" i="7"/>
  <c r="K37" i="7"/>
  <c r="J37" i="7"/>
  <c r="Q36" i="7"/>
  <c r="P36" i="7"/>
  <c r="O36" i="7"/>
  <c r="N36" i="7"/>
  <c r="M36" i="7"/>
  <c r="L36" i="7"/>
  <c r="K36" i="7"/>
  <c r="J36" i="7"/>
  <c r="Q35" i="7"/>
  <c r="P35" i="7"/>
  <c r="O35" i="7"/>
  <c r="N35" i="7"/>
  <c r="M35" i="7"/>
  <c r="L35" i="7"/>
  <c r="K35" i="7"/>
  <c r="J35" i="7"/>
  <c r="Q34" i="7"/>
  <c r="P34" i="7"/>
  <c r="O34" i="7"/>
  <c r="N34" i="7"/>
  <c r="M34" i="7"/>
  <c r="L34" i="7"/>
  <c r="K34" i="7"/>
  <c r="J34" i="7"/>
  <c r="Q33" i="7"/>
  <c r="P33" i="7"/>
  <c r="O33" i="7"/>
  <c r="N33" i="7"/>
  <c r="M33" i="7"/>
  <c r="L33" i="7"/>
  <c r="K33" i="7"/>
  <c r="J33" i="7"/>
  <c r="Q32" i="7"/>
  <c r="P32" i="7"/>
  <c r="O32" i="7"/>
  <c r="N32" i="7"/>
  <c r="M32" i="7"/>
  <c r="L32" i="7"/>
  <c r="K32" i="7"/>
  <c r="J32" i="7"/>
  <c r="U31" i="7"/>
  <c r="U30" i="7" s="1"/>
  <c r="U29" i="7" s="1"/>
  <c r="U28" i="7" s="1"/>
  <c r="U27" i="7" s="1"/>
  <c r="U26" i="7" s="1"/>
  <c r="U25" i="7" s="1"/>
  <c r="U24" i="7" s="1"/>
  <c r="U23" i="7" s="1"/>
  <c r="U22" i="7" s="1"/>
  <c r="U21" i="7" s="1"/>
  <c r="U20" i="7" s="1"/>
  <c r="U19" i="7" s="1"/>
  <c r="U18" i="7" s="1"/>
  <c r="U17" i="7" s="1"/>
  <c r="U16" i="7" s="1"/>
  <c r="U15" i="7" s="1"/>
  <c r="U14" i="7" s="1"/>
  <c r="U13" i="7" s="1"/>
  <c r="U12" i="7" s="1"/>
  <c r="U11" i="7" s="1"/>
  <c r="U10" i="7" s="1"/>
  <c r="U9" i="7" s="1"/>
  <c r="U8" i="7" s="1"/>
  <c r="U7" i="7" s="1"/>
  <c r="U6" i="7" s="1"/>
  <c r="U5" i="7" s="1"/>
  <c r="U4" i="7" s="1"/>
  <c r="U3" i="7" s="1"/>
  <c r="Q31" i="7"/>
  <c r="P31" i="7"/>
  <c r="O31" i="7"/>
  <c r="N31" i="7"/>
  <c r="M31" i="7"/>
  <c r="L31" i="7"/>
  <c r="K31" i="7"/>
  <c r="J31" i="7"/>
  <c r="Q30" i="7"/>
  <c r="P30" i="7"/>
  <c r="O30" i="7"/>
  <c r="N30" i="7"/>
  <c r="M30" i="7"/>
  <c r="L30" i="7"/>
  <c r="K30" i="7"/>
  <c r="J30" i="7"/>
  <c r="Q29" i="7"/>
  <c r="P29" i="7"/>
  <c r="O29" i="7"/>
  <c r="N29" i="7"/>
  <c r="M29" i="7"/>
  <c r="L29" i="7"/>
  <c r="K29" i="7"/>
  <c r="J29" i="7"/>
  <c r="Q28" i="7"/>
  <c r="P28" i="7"/>
  <c r="O28" i="7"/>
  <c r="N28" i="7"/>
  <c r="M28" i="7"/>
  <c r="L28" i="7"/>
  <c r="K28" i="7"/>
  <c r="J28" i="7"/>
  <c r="Q27" i="7"/>
  <c r="P27" i="7"/>
  <c r="O27" i="7"/>
  <c r="N27" i="7"/>
  <c r="M27" i="7"/>
  <c r="L27" i="7"/>
  <c r="K27" i="7"/>
  <c r="J27" i="7"/>
  <c r="Q26" i="7"/>
  <c r="P26" i="7"/>
  <c r="O26" i="7"/>
  <c r="N26" i="7"/>
  <c r="M26" i="7"/>
  <c r="L26" i="7"/>
  <c r="K26" i="7"/>
  <c r="J26" i="7"/>
  <c r="Q25" i="7"/>
  <c r="P25" i="7"/>
  <c r="O25" i="7"/>
  <c r="N25" i="7"/>
  <c r="M25" i="7"/>
  <c r="L25" i="7"/>
  <c r="K25" i="7"/>
  <c r="J25" i="7"/>
  <c r="Q24" i="7"/>
  <c r="P24" i="7"/>
  <c r="O24" i="7"/>
  <c r="N24" i="7"/>
  <c r="M24" i="7"/>
  <c r="L24" i="7"/>
  <c r="K24" i="7"/>
  <c r="J24" i="7"/>
  <c r="Q23" i="7"/>
  <c r="P23" i="7"/>
  <c r="O23" i="7"/>
  <c r="N23" i="7"/>
  <c r="M23" i="7"/>
  <c r="L23" i="7"/>
  <c r="K23" i="7"/>
  <c r="J23" i="7"/>
  <c r="Q22" i="7"/>
  <c r="P22" i="7"/>
  <c r="O22" i="7"/>
  <c r="N22" i="7"/>
  <c r="M22" i="7"/>
  <c r="L22" i="7"/>
  <c r="K22" i="7"/>
  <c r="J22" i="7"/>
  <c r="Q21" i="7"/>
  <c r="P21" i="7"/>
  <c r="O21" i="7"/>
  <c r="N21" i="7"/>
  <c r="M21" i="7"/>
  <c r="L21" i="7"/>
  <c r="K21" i="7"/>
  <c r="J21" i="7"/>
  <c r="Q20" i="7"/>
  <c r="P20" i="7"/>
  <c r="O20" i="7"/>
  <c r="N20" i="7"/>
  <c r="M20" i="7"/>
  <c r="L20" i="7"/>
  <c r="K20" i="7"/>
  <c r="J20" i="7"/>
  <c r="Q19" i="7"/>
  <c r="P19" i="7"/>
  <c r="O19" i="7"/>
  <c r="N19" i="7"/>
  <c r="M19" i="7"/>
  <c r="L19" i="7"/>
  <c r="K19" i="7"/>
  <c r="J19" i="7"/>
  <c r="Q18" i="7"/>
  <c r="P18" i="7"/>
  <c r="O18" i="7"/>
  <c r="N18" i="7"/>
  <c r="M18" i="7"/>
  <c r="L18" i="7"/>
  <c r="K18" i="7"/>
  <c r="J18" i="7"/>
  <c r="Q17" i="7"/>
  <c r="P17" i="7"/>
  <c r="O17" i="7"/>
  <c r="N17" i="7"/>
  <c r="M17" i="7"/>
  <c r="L17" i="7"/>
  <c r="K17" i="7"/>
  <c r="J17" i="7"/>
  <c r="Q16" i="7"/>
  <c r="P16" i="7"/>
  <c r="O16" i="7"/>
  <c r="N16" i="7"/>
  <c r="M16" i="7"/>
  <c r="L16" i="7"/>
  <c r="K16" i="7"/>
  <c r="J16" i="7"/>
  <c r="Q15" i="7"/>
  <c r="P15" i="7"/>
  <c r="O15" i="7"/>
  <c r="N15" i="7"/>
  <c r="M15" i="7"/>
  <c r="L15" i="7"/>
  <c r="K15" i="7"/>
  <c r="J15" i="7"/>
  <c r="Q14" i="7"/>
  <c r="P14" i="7"/>
  <c r="O14" i="7"/>
  <c r="N14" i="7"/>
  <c r="M14" i="7"/>
  <c r="L14" i="7"/>
  <c r="K14" i="7"/>
  <c r="J14" i="7"/>
  <c r="Q13" i="7"/>
  <c r="P13" i="7"/>
  <c r="O13" i="7"/>
  <c r="N13" i="7"/>
  <c r="M13" i="7"/>
  <c r="L13" i="7"/>
  <c r="K13" i="7"/>
  <c r="J13" i="7"/>
  <c r="Q12" i="7"/>
  <c r="P12" i="7"/>
  <c r="O12" i="7"/>
  <c r="N12" i="7"/>
  <c r="M12" i="7"/>
  <c r="L12" i="7"/>
  <c r="K12" i="7"/>
  <c r="J12" i="7"/>
  <c r="Q11" i="7"/>
  <c r="P11" i="7"/>
  <c r="O11" i="7"/>
  <c r="N11" i="7"/>
  <c r="M11" i="7"/>
  <c r="L11" i="7"/>
  <c r="K11" i="7"/>
  <c r="J11" i="7"/>
  <c r="Q10" i="7"/>
  <c r="P10" i="7"/>
  <c r="O10" i="7"/>
  <c r="N10" i="7"/>
  <c r="M10" i="7"/>
  <c r="L10" i="7"/>
  <c r="K10" i="7"/>
  <c r="J10" i="7"/>
  <c r="Q9" i="7"/>
  <c r="P9" i="7"/>
  <c r="O9" i="7"/>
  <c r="N9" i="7"/>
  <c r="M9" i="7"/>
  <c r="L9" i="7"/>
  <c r="K9" i="7"/>
  <c r="J9" i="7"/>
  <c r="Q8" i="7"/>
  <c r="P8" i="7"/>
  <c r="O8" i="7"/>
  <c r="N8" i="7"/>
  <c r="M8" i="7"/>
  <c r="L8" i="7"/>
  <c r="K8" i="7"/>
  <c r="J8" i="7"/>
  <c r="Q7" i="7"/>
  <c r="P7" i="7"/>
  <c r="O7" i="7"/>
  <c r="N7" i="7"/>
  <c r="M7" i="7"/>
  <c r="L7" i="7"/>
  <c r="K7" i="7"/>
  <c r="J7" i="7"/>
  <c r="Q6" i="7"/>
  <c r="P6" i="7"/>
  <c r="O6" i="7"/>
  <c r="N6" i="7"/>
  <c r="M6" i="7"/>
  <c r="L6" i="7"/>
  <c r="K6" i="7"/>
  <c r="J6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Q5" i="7"/>
  <c r="P5" i="7"/>
  <c r="O5" i="7"/>
  <c r="N5" i="7"/>
  <c r="M5" i="7"/>
  <c r="L5" i="7"/>
  <c r="K5" i="7"/>
  <c r="J5" i="7"/>
  <c r="A5" i="7"/>
  <c r="T4" i="7"/>
  <c r="T5" i="7" s="1"/>
  <c r="T6" i="7" s="1"/>
  <c r="T7" i="7" s="1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Q4" i="7"/>
  <c r="P4" i="7"/>
  <c r="O4" i="7"/>
  <c r="N4" i="7"/>
  <c r="M4" i="7"/>
  <c r="L4" i="7"/>
  <c r="K4" i="7"/>
  <c r="J4" i="7"/>
  <c r="AK11" i="6"/>
  <c r="AK12" i="6" s="1"/>
  <c r="AJ11" i="6"/>
  <c r="AI11" i="6"/>
  <c r="AI12" i="6" s="1"/>
  <c r="AH11" i="6"/>
  <c r="AH12" i="6" s="1"/>
  <c r="AG11" i="6"/>
  <c r="AG12" i="6" s="1"/>
  <c r="AF11" i="6"/>
  <c r="AF12" i="6" s="1"/>
  <c r="AE11" i="6"/>
  <c r="AD11" i="6"/>
  <c r="AD12" i="6" s="1"/>
  <c r="AB11" i="6"/>
  <c r="AB12" i="6" s="1"/>
  <c r="AA11" i="6"/>
  <c r="Z11" i="6"/>
  <c r="Z12" i="6" s="1"/>
  <c r="Y11" i="6"/>
  <c r="Y12" i="6" s="1"/>
  <c r="X11" i="6"/>
  <c r="X12" i="6" s="1"/>
  <c r="W11" i="6"/>
  <c r="V11" i="6"/>
  <c r="U11" i="6"/>
  <c r="U12" i="6" s="1"/>
  <c r="S11" i="6"/>
  <c r="S12" i="6" s="1"/>
  <c r="R11" i="6"/>
  <c r="Q11" i="6"/>
  <c r="Q12" i="6" s="1"/>
  <c r="P11" i="6"/>
  <c r="P12" i="6" s="1"/>
  <c r="O11" i="6"/>
  <c r="O12" i="6" s="1"/>
  <c r="N11" i="6"/>
  <c r="M11" i="6"/>
  <c r="L11" i="6"/>
  <c r="L12" i="6" s="1"/>
  <c r="J11" i="6"/>
  <c r="J12" i="6" s="1"/>
  <c r="I11" i="6"/>
  <c r="H11" i="6"/>
  <c r="H12" i="6" s="1"/>
  <c r="G11" i="6"/>
  <c r="G12" i="6" s="1"/>
  <c r="F11" i="6"/>
  <c r="F12" i="6" s="1"/>
  <c r="E11" i="6"/>
  <c r="E12" i="6" s="1"/>
  <c r="D11" i="6"/>
  <c r="C11" i="6"/>
  <c r="C12" i="6" s="1"/>
  <c r="AE9" i="6"/>
  <c r="V9" i="6"/>
  <c r="AD8" i="6"/>
  <c r="U8" i="6"/>
  <c r="L8" i="6"/>
  <c r="C8" i="6"/>
  <c r="R25" i="7" l="1"/>
  <c r="R55" i="7"/>
  <c r="R97" i="7"/>
  <c r="R106" i="7"/>
  <c r="R124" i="7"/>
  <c r="R136" i="7"/>
  <c r="R36" i="7"/>
  <c r="R5" i="7"/>
  <c r="R42" i="7"/>
  <c r="R51" i="7"/>
  <c r="R60" i="7"/>
  <c r="R63" i="7"/>
  <c r="R69" i="7"/>
  <c r="R72" i="7"/>
  <c r="R75" i="7"/>
  <c r="R78" i="7"/>
  <c r="R87" i="7"/>
  <c r="R90" i="7"/>
  <c r="R93" i="7"/>
  <c r="R99" i="7"/>
  <c r="R102" i="7"/>
  <c r="R105" i="7"/>
  <c r="R111" i="7"/>
  <c r="R120" i="7"/>
  <c r="R123" i="7"/>
  <c r="R129" i="7"/>
  <c r="R132" i="7"/>
  <c r="R135" i="7"/>
  <c r="R138" i="7"/>
  <c r="R147" i="7"/>
  <c r="R153" i="7"/>
  <c r="R156" i="7"/>
  <c r="R159" i="7"/>
  <c r="R165" i="7"/>
  <c r="R168" i="7"/>
  <c r="R171" i="7"/>
  <c r="R174" i="7"/>
  <c r="R183" i="7"/>
  <c r="R186" i="7"/>
  <c r="R189" i="7"/>
  <c r="R195" i="7"/>
  <c r="R198" i="7"/>
  <c r="R201" i="7"/>
  <c r="R204" i="7"/>
  <c r="R207" i="7"/>
  <c r="R210" i="7"/>
  <c r="R213" i="7"/>
  <c r="R216" i="7"/>
  <c r="R219" i="7"/>
  <c r="R222" i="7"/>
  <c r="R8" i="7"/>
  <c r="R17" i="7"/>
  <c r="R26" i="7"/>
  <c r="R240" i="7"/>
  <c r="R243" i="7"/>
  <c r="R246" i="7"/>
  <c r="R32" i="7"/>
  <c r="R35" i="7"/>
  <c r="R38" i="7"/>
  <c r="R249" i="7"/>
  <c r="R252" i="7"/>
  <c r="R255" i="7"/>
  <c r="R41" i="7"/>
  <c r="R47" i="7"/>
  <c r="R56" i="7"/>
  <c r="R59" i="7"/>
  <c r="R65" i="7"/>
  <c r="R68" i="7"/>
  <c r="R71" i="7"/>
  <c r="R74" i="7"/>
  <c r="R83" i="7"/>
  <c r="R92" i="7"/>
  <c r="R95" i="7"/>
  <c r="R101" i="7"/>
  <c r="R104" i="7"/>
  <c r="R107" i="7"/>
  <c r="R110" i="7"/>
  <c r="R119" i="7"/>
  <c r="R122" i="7"/>
  <c r="R125" i="7"/>
  <c r="R131" i="7"/>
  <c r="R134" i="7"/>
  <c r="R137" i="7"/>
  <c r="R143" i="7"/>
  <c r="R152" i="7"/>
  <c r="R155" i="7"/>
  <c r="R161" i="7"/>
  <c r="R164" i="7"/>
  <c r="R167" i="7"/>
  <c r="R170" i="7"/>
  <c r="R179" i="7"/>
  <c r="R188" i="7"/>
  <c r="R191" i="7"/>
  <c r="R197" i="7"/>
  <c r="R203" i="7"/>
  <c r="R206" i="7"/>
  <c r="R209" i="7"/>
  <c r="R212" i="7"/>
  <c r="R215" i="7"/>
  <c r="R218" i="7"/>
  <c r="R221" i="7"/>
  <c r="R224" i="7"/>
  <c r="R227" i="7"/>
  <c r="R230" i="7"/>
  <c r="R233" i="7"/>
  <c r="R236" i="7"/>
  <c r="R22" i="7"/>
  <c r="R19" i="7"/>
  <c r="R31" i="7"/>
  <c r="R37" i="7"/>
  <c r="R10" i="7"/>
  <c r="R46" i="7"/>
  <c r="R67" i="7"/>
  <c r="R91" i="7"/>
  <c r="R142" i="7"/>
  <c r="R154" i="7"/>
  <c r="R157" i="7"/>
  <c r="R163" i="7"/>
  <c r="R166" i="7"/>
  <c r="R169" i="7"/>
  <c r="R175" i="7"/>
  <c r="R187" i="7"/>
  <c r="R193" i="7"/>
  <c r="R196" i="7"/>
  <c r="R199" i="7"/>
  <c r="R202" i="7"/>
  <c r="R205" i="7"/>
  <c r="R208" i="7"/>
  <c r="R211" i="7"/>
  <c r="R214" i="7"/>
  <c r="R217" i="7"/>
  <c r="R220" i="7"/>
  <c r="R43" i="7"/>
  <c r="R61" i="7"/>
  <c r="R70" i="7"/>
  <c r="R79" i="7"/>
  <c r="R103" i="7"/>
  <c r="R133" i="7"/>
  <c r="R184" i="7"/>
  <c r="R6" i="7"/>
  <c r="R226" i="7"/>
  <c r="R229" i="7"/>
  <c r="R232" i="7"/>
  <c r="R235" i="7"/>
  <c r="R238" i="7"/>
  <c r="R40" i="7"/>
  <c r="R58" i="7"/>
  <c r="R73" i="7"/>
  <c r="R88" i="7"/>
  <c r="R100" i="7"/>
  <c r="R115" i="7"/>
  <c r="R127" i="7"/>
  <c r="R139" i="7"/>
  <c r="R151" i="7"/>
  <c r="R9" i="7"/>
  <c r="R15" i="7"/>
  <c r="R18" i="7"/>
  <c r="R21" i="7"/>
  <c r="R24" i="7"/>
  <c r="R241" i="7"/>
  <c r="R244" i="7"/>
  <c r="Z19" i="6"/>
  <c r="AD10" i="6"/>
  <c r="AJ17" i="6" s="1"/>
  <c r="U19" i="6"/>
  <c r="T19" i="7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R23" i="7"/>
  <c r="R44" i="7"/>
  <c r="R45" i="7"/>
  <c r="R76" i="7"/>
  <c r="R140" i="7"/>
  <c r="R173" i="7"/>
  <c r="V16" i="6"/>
  <c r="R11" i="7"/>
  <c r="R12" i="7"/>
  <c r="R27" i="7"/>
  <c r="R28" i="7"/>
  <c r="R48" i="7"/>
  <c r="R49" i="7"/>
  <c r="R50" i="7"/>
  <c r="R80" i="7"/>
  <c r="R81" i="7"/>
  <c r="R82" i="7"/>
  <c r="R112" i="7"/>
  <c r="R113" i="7"/>
  <c r="R114" i="7"/>
  <c r="R144" i="7"/>
  <c r="R145" i="7"/>
  <c r="R146" i="7"/>
  <c r="R176" i="7"/>
  <c r="R177" i="7"/>
  <c r="R178" i="7"/>
  <c r="R7" i="7"/>
  <c r="R77" i="7"/>
  <c r="R108" i="7"/>
  <c r="R109" i="7"/>
  <c r="R141" i="7"/>
  <c r="R172" i="7"/>
  <c r="R13" i="7"/>
  <c r="R14" i="7"/>
  <c r="R29" i="7"/>
  <c r="R30" i="7"/>
  <c r="R52" i="7"/>
  <c r="R53" i="7"/>
  <c r="R54" i="7"/>
  <c r="R84" i="7"/>
  <c r="R85" i="7"/>
  <c r="R86" i="7"/>
  <c r="R116" i="7"/>
  <c r="R117" i="7"/>
  <c r="R118" i="7"/>
  <c r="R148" i="7"/>
  <c r="R149" i="7"/>
  <c r="R150" i="7"/>
  <c r="R180" i="7"/>
  <c r="R181" i="7"/>
  <c r="R182" i="7"/>
  <c r="R4" i="7"/>
  <c r="R16" i="7"/>
  <c r="R57" i="7"/>
  <c r="R89" i="7"/>
  <c r="R121" i="7"/>
  <c r="R185" i="7"/>
  <c r="R62" i="7"/>
  <c r="R94" i="7"/>
  <c r="R126" i="7"/>
  <c r="R158" i="7"/>
  <c r="R190" i="7"/>
  <c r="AK9" i="6"/>
  <c r="AK16" i="6" s="1"/>
  <c r="AA9" i="6"/>
  <c r="AI9" i="6"/>
  <c r="AI16" i="6" s="1"/>
  <c r="Z9" i="6"/>
  <c r="Z16" i="6" s="1"/>
  <c r="AH9" i="6"/>
  <c r="AH16" i="6" s="1"/>
  <c r="Y9" i="6"/>
  <c r="Y16" i="6" s="1"/>
  <c r="AG9" i="6"/>
  <c r="AG16" i="6" s="1"/>
  <c r="X9" i="6"/>
  <c r="X16" i="6" s="1"/>
  <c r="AF9" i="6"/>
  <c r="AF16" i="6" s="1"/>
  <c r="W9" i="6"/>
  <c r="W16" i="6" s="1"/>
  <c r="A131" i="7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D9" i="6"/>
  <c r="AD16" i="6" s="1"/>
  <c r="U9" i="6"/>
  <c r="U16" i="6" s="1"/>
  <c r="AB9" i="6"/>
  <c r="AB16" i="6" s="1"/>
  <c r="AJ9" i="6"/>
  <c r="AJ16" i="6" s="1"/>
  <c r="R20" i="7"/>
  <c r="R33" i="7"/>
  <c r="R34" i="7"/>
  <c r="R64" i="7"/>
  <c r="R66" i="7"/>
  <c r="R96" i="7"/>
  <c r="R98" i="7"/>
  <c r="R128" i="7"/>
  <c r="R130" i="7"/>
  <c r="R160" i="7"/>
  <c r="R162" i="7"/>
  <c r="R192" i="7"/>
  <c r="R194" i="7"/>
  <c r="R200" i="7"/>
  <c r="AA16" i="6"/>
  <c r="D12" i="6"/>
  <c r="AE12" i="6"/>
  <c r="C10" i="6"/>
  <c r="N12" i="6"/>
  <c r="L10" i="6"/>
  <c r="M12" i="6"/>
  <c r="V12" i="6"/>
  <c r="W12" i="6"/>
  <c r="U10" i="6"/>
  <c r="I12" i="6"/>
  <c r="R12" i="6"/>
  <c r="AA12" i="6"/>
  <c r="AJ12" i="6"/>
  <c r="AE16" i="6"/>
  <c r="C15" i="6" l="1"/>
  <c r="AD13" i="6"/>
  <c r="I18" i="6"/>
  <c r="E9" i="6"/>
  <c r="E16" i="6" s="1"/>
  <c r="J9" i="6"/>
  <c r="J16" i="6" s="1"/>
  <c r="N9" i="6"/>
  <c r="N16" i="6" s="1"/>
  <c r="A195" i="7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D9" i="6"/>
  <c r="D16" i="6" s="1"/>
  <c r="G17" i="6"/>
  <c r="P17" i="6" s="1"/>
  <c r="G19" i="6" s="1"/>
  <c r="F9" i="6"/>
  <c r="F16" i="6" s="1"/>
  <c r="I17" i="6"/>
  <c r="R17" i="6" s="1"/>
  <c r="I19" i="6" s="1"/>
  <c r="G18" i="6"/>
  <c r="AH17" i="6"/>
  <c r="U13" i="6"/>
  <c r="C13" i="6"/>
  <c r="AD17" i="6"/>
  <c r="AF17" i="6"/>
  <c r="L13" i="6"/>
  <c r="M9" i="6" l="1"/>
  <c r="M16" i="6" s="1"/>
  <c r="R9" i="6"/>
  <c r="R16" i="6" s="1"/>
  <c r="Q9" i="6"/>
  <c r="Q16" i="6" s="1"/>
  <c r="L9" i="6"/>
  <c r="L16" i="6" s="1"/>
  <c r="O9" i="6"/>
  <c r="O16" i="6" s="1"/>
  <c r="S9" i="6"/>
  <c r="S16" i="6" s="1"/>
  <c r="P9" i="6"/>
  <c r="P16" i="6" s="1"/>
  <c r="I9" i="6"/>
  <c r="I16" i="6" s="1"/>
  <c r="G9" i="6"/>
  <c r="G16" i="6" s="1"/>
  <c r="C9" i="6"/>
  <c r="H9" i="6"/>
  <c r="H16" i="6" s="1"/>
  <c r="E18" i="6" l="1"/>
  <c r="E17" i="6"/>
  <c r="N17" i="6" s="1"/>
  <c r="E19" i="6" s="1"/>
  <c r="C16" i="6"/>
  <c r="AE19" i="6"/>
  <c r="C17" i="6" l="1"/>
  <c r="L17" i="6" s="1"/>
  <c r="C19" i="6" s="1"/>
  <c r="C18" i="6"/>
</calcChain>
</file>

<file path=xl/sharedStrings.xml><?xml version="1.0" encoding="utf-8"?>
<sst xmlns="http://schemas.openxmlformats.org/spreadsheetml/2006/main" count="167" uniqueCount="103">
  <si>
    <t>Type</t>
  </si>
  <si>
    <t>DHCP</t>
  </si>
  <si>
    <t>Address</t>
  </si>
  <si>
    <t>Mask</t>
  </si>
  <si>
    <t>Gateway</t>
  </si>
  <si>
    <t>ENABLE</t>
  </si>
  <si>
    <t>DISABLE</t>
  </si>
  <si>
    <t>Release</t>
  </si>
  <si>
    <t>Rev 0</t>
  </si>
  <si>
    <t>Initial Release</t>
  </si>
  <si>
    <t>Rev 1</t>
  </si>
  <si>
    <t>Removed Pause From Execution File</t>
  </si>
  <si>
    <t>Added Trap to automatically add Mask and Gateweay for Static Types if None Supplied</t>
  </si>
  <si>
    <t>Notes</t>
  </si>
  <si>
    <t>-</t>
  </si>
  <si>
    <t>Added logic to create Temp Directory if None Exists</t>
  </si>
  <si>
    <t>Added Logic to create all files if they don't exist</t>
  </si>
  <si>
    <t>Corrected type "Enable / Disable"</t>
  </si>
  <si>
    <t>Added Floating Toolbar Controls</t>
  </si>
  <si>
    <t>Added IPCONFIG button to ToolBar Controls</t>
  </si>
  <si>
    <t>Definition</t>
  </si>
  <si>
    <t>Static</t>
  </si>
  <si>
    <t>255.255.255.0</t>
  </si>
  <si>
    <t>Added the "/All" Switch to the IPCONFIG ToolBar Button</t>
  </si>
  <si>
    <t>Added SubnetCalc Sheet</t>
  </si>
  <si>
    <t>Added DHCP Server Launch Option</t>
  </si>
  <si>
    <t>192.168.1.1</t>
  </si>
  <si>
    <t>DHCP Server File Name</t>
  </si>
  <si>
    <t>Added DHCP Connection based on MISC. Path provided</t>
  </si>
  <si>
    <t>Pending</t>
  </si>
  <si>
    <t>Retrieve Wifi Connected Password based on SSID</t>
  </si>
  <si>
    <t>VLC Mosaic Stream</t>
  </si>
  <si>
    <t>rtsp://10.229.82.183:50000/mosaic.pmc</t>
  </si>
  <si>
    <t>rtsp://192.168.193.200:8554/</t>
  </si>
  <si>
    <t>Add Ping Option with Log Save</t>
  </si>
  <si>
    <t>Subnet Calculator</t>
  </si>
  <si>
    <t>Address:</t>
  </si>
  <si>
    <t>/</t>
  </si>
  <si>
    <t>First Octet</t>
  </si>
  <si>
    <t>Second Octet</t>
  </si>
  <si>
    <t>Third Octet</t>
  </si>
  <si>
    <t>Fourth Octet</t>
  </si>
  <si>
    <t>Bit Number:</t>
  </si>
  <si>
    <t>Bit Value:</t>
  </si>
  <si>
    <t>IP Address:</t>
  </si>
  <si>
    <t>.</t>
  </si>
  <si>
    <t>Bits:</t>
  </si>
  <si>
    <t>Subnet Mask:</t>
  </si>
  <si>
    <t>Subnet Bits:</t>
  </si>
  <si>
    <t>Bits Unmasked:</t>
  </si>
  <si>
    <t>Inv Subnet:</t>
  </si>
  <si>
    <t>Available Hosts:</t>
  </si>
  <si>
    <t>Host Range:</t>
  </si>
  <si>
    <t>Cisco Wildcard Mask:</t>
  </si>
  <si>
    <t>Network:</t>
  </si>
  <si>
    <t>Broadcast:</t>
  </si>
  <si>
    <t>Host Bits:</t>
  </si>
  <si>
    <t>Class:</t>
  </si>
  <si>
    <t>Designed/Created by Mathew Shreve</t>
  </si>
  <si>
    <t>Binary Chart</t>
  </si>
  <si>
    <t>Host Chart</t>
  </si>
  <si>
    <t>/Mask</t>
  </si>
  <si>
    <t>Hosts</t>
  </si>
  <si>
    <t>Check Com Ports</t>
  </si>
  <si>
    <t>Action</t>
  </si>
  <si>
    <t>Command</t>
  </si>
  <si>
    <t>chgport</t>
  </si>
  <si>
    <t>Wifi Password Finder</t>
  </si>
  <si>
    <t>arcx</t>
  </si>
  <si>
    <t>192.168.1.200</t>
  </si>
  <si>
    <t>C:\DHCPServer\DHCP.bat</t>
  </si>
  <si>
    <t>Default</t>
  </si>
  <si>
    <t>TMMC-Admin</t>
  </si>
  <si>
    <t>netsh wlan show profile TMMC-Admin key=clear</t>
  </si>
  <si>
    <t>TmmC_@dm1n</t>
  </si>
  <si>
    <t>netsh wlan show profile arcx key=clear</t>
  </si>
  <si>
    <t>TOYOTA-Guest</t>
  </si>
  <si>
    <t>netsh wlan show profile TOYOTA-Guest key=clear</t>
  </si>
  <si>
    <t>Winter!sH3re</t>
  </si>
  <si>
    <t>WLAN</t>
  </si>
  <si>
    <t>GLAN</t>
  </si>
  <si>
    <t>192.168.1.201</t>
  </si>
  <si>
    <t>192.168.1.202</t>
  </si>
  <si>
    <t>Enable WLAN</t>
  </si>
  <si>
    <t>Disable WLAN</t>
  </si>
  <si>
    <t>Enable GLAN</t>
  </si>
  <si>
    <t>Disable GLAN</t>
  </si>
  <si>
    <t>DHCP GLAN</t>
  </si>
  <si>
    <t>DHCP WLAN</t>
  </si>
  <si>
    <t>SSPW GLAN 200</t>
  </si>
  <si>
    <t>SSPW GLAN 201</t>
  </si>
  <si>
    <t>SSPW GLAN 202</t>
  </si>
  <si>
    <t>SSPW WLAN 200</t>
  </si>
  <si>
    <t>SSPW WLAN 201</t>
  </si>
  <si>
    <t>SSPW WLAN 202</t>
  </si>
  <si>
    <t>Device</t>
  </si>
  <si>
    <t xml:space="preserve">VALE GLAN RTMS </t>
  </si>
  <si>
    <t>VALE GLAN RCN</t>
  </si>
  <si>
    <t>172.24.50.173</t>
  </si>
  <si>
    <t>VALE WLAN Guest</t>
  </si>
  <si>
    <t>255.255.252.0</t>
  </si>
  <si>
    <t>172.24.4.254</t>
  </si>
  <si>
    <t>172.24.6.173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</si>
</sst>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name val="Arial"/>
    </font>
    <font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7"/>
      <name val="Arial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C99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/>
    <xf numFmtId="0" fontId="12" fillId="0" borderId="0" applyNumberFormat="0" applyFill="0" applyBorder="0" applyAlignment="0" applyProtection="0"/>
    <xf numFmtId="0" fontId="13" fillId="8" borderId="24" applyNumberFormat="0" applyAlignment="0" applyProtection="0"/>
  </cellStyleXfs>
  <cellXfs count="91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1" fillId="0" borderId="3" xfId="0" applyFont="1" applyBorder="1"/>
    <xf numFmtId="0" fontId="2" fillId="2" borderId="2" xfId="1" applyBorder="1"/>
    <xf numFmtId="0" fontId="2" fillId="2" borderId="1" xfId="1" applyBorder="1"/>
    <xf numFmtId="0" fontId="0" fillId="0" borderId="0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3" fillId="0" borderId="1" xfId="0" applyFont="1" applyBorder="1"/>
    <xf numFmtId="0" fontId="0" fillId="0" borderId="9" xfId="0" applyFill="1" applyBorder="1"/>
    <xf numFmtId="0" fontId="3" fillId="0" borderId="7" xfId="0" applyFont="1" applyBorder="1"/>
    <xf numFmtId="49" fontId="3" fillId="0" borderId="6" xfId="0" applyNumberFormat="1" applyFont="1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49" fontId="0" fillId="0" borderId="8" xfId="0" applyNumberFormat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3" fillId="0" borderId="1" xfId="0" applyFont="1" applyBorder="1" applyAlignment="1">
      <alignment wrapText="1"/>
    </xf>
    <xf numFmtId="0" fontId="4" fillId="3" borderId="2" xfId="2" applyBorder="1"/>
    <xf numFmtId="0" fontId="5" fillId="4" borderId="0" xfId="3" applyFill="1" applyAlignment="1">
      <alignment horizontal="right"/>
    </xf>
    <xf numFmtId="0" fontId="5" fillId="4" borderId="0" xfId="3" applyFill="1"/>
    <xf numFmtId="0" fontId="7" fillId="5" borderId="8" xfId="3" applyFont="1" applyFill="1" applyBorder="1" applyAlignment="1">
      <alignment horizontal="right"/>
    </xf>
    <xf numFmtId="0" fontId="5" fillId="0" borderId="1" xfId="3" applyFill="1" applyBorder="1" applyAlignment="1" applyProtection="1">
      <alignment horizontal="center"/>
      <protection locked="0"/>
    </xf>
    <xf numFmtId="0" fontId="7" fillId="5" borderId="0" xfId="3" applyFont="1" applyFill="1" applyBorder="1" applyAlignment="1">
      <alignment horizontal="center"/>
    </xf>
    <xf numFmtId="0" fontId="5" fillId="5" borderId="0" xfId="3" applyFill="1" applyBorder="1"/>
    <xf numFmtId="0" fontId="5" fillId="5" borderId="9" xfId="3" applyFill="1" applyBorder="1"/>
    <xf numFmtId="0" fontId="7" fillId="5" borderId="14" xfId="3" applyFont="1" applyFill="1" applyBorder="1" applyAlignment="1">
      <alignment horizontal="right"/>
    </xf>
    <xf numFmtId="0" fontId="8" fillId="5" borderId="15" xfId="3" applyFont="1" applyFill="1" applyBorder="1" applyAlignment="1">
      <alignment horizontal="center"/>
    </xf>
    <xf numFmtId="0" fontId="5" fillId="5" borderId="1" xfId="3" applyFill="1" applyBorder="1" applyAlignment="1">
      <alignment horizontal="center"/>
    </xf>
    <xf numFmtId="0" fontId="9" fillId="5" borderId="1" xfId="3" applyFont="1" applyFill="1" applyBorder="1" applyAlignment="1">
      <alignment horizontal="center"/>
    </xf>
    <xf numFmtId="0" fontId="7" fillId="5" borderId="16" xfId="3" applyFont="1" applyFill="1" applyBorder="1" applyAlignment="1">
      <alignment horizontal="center"/>
    </xf>
    <xf numFmtId="0" fontId="8" fillId="5" borderId="0" xfId="3" applyFont="1" applyFill="1" applyBorder="1" applyAlignment="1">
      <alignment horizontal="center"/>
    </xf>
    <xf numFmtId="0" fontId="8" fillId="5" borderId="17" xfId="3" applyFont="1" applyFill="1" applyBorder="1"/>
    <xf numFmtId="0" fontId="9" fillId="5" borderId="0" xfId="3" applyFont="1" applyFill="1" applyBorder="1"/>
    <xf numFmtId="0" fontId="8" fillId="5" borderId="0" xfId="3" applyFont="1" applyFill="1" applyBorder="1"/>
    <xf numFmtId="3" fontId="7" fillId="5" borderId="12" xfId="3" applyNumberFormat="1" applyFont="1" applyFill="1" applyBorder="1" applyAlignment="1">
      <alignment horizontal="center"/>
    </xf>
    <xf numFmtId="3" fontId="7" fillId="5" borderId="1" xfId="3" applyNumberFormat="1" applyFont="1" applyFill="1" applyBorder="1" applyAlignment="1">
      <alignment horizontal="center"/>
    </xf>
    <xf numFmtId="0" fontId="10" fillId="5" borderId="14" xfId="3" applyFont="1" applyFill="1" applyBorder="1" applyAlignment="1">
      <alignment horizontal="right"/>
    </xf>
    <xf numFmtId="0" fontId="5" fillId="5" borderId="0" xfId="3" applyFill="1"/>
    <xf numFmtId="0" fontId="7" fillId="5" borderId="0" xfId="3" applyFont="1" applyFill="1" applyBorder="1"/>
    <xf numFmtId="0" fontId="8" fillId="5" borderId="0" xfId="3" applyFont="1" applyFill="1" applyBorder="1" applyAlignment="1"/>
    <xf numFmtId="0" fontId="5" fillId="5" borderId="10" xfId="3" applyFill="1" applyBorder="1" applyAlignment="1">
      <alignment horizontal="right"/>
    </xf>
    <xf numFmtId="0" fontId="5" fillId="5" borderId="21" xfId="3" applyFill="1" applyBorder="1"/>
    <xf numFmtId="0" fontId="5" fillId="5" borderId="11" xfId="3" applyFill="1" applyBorder="1"/>
    <xf numFmtId="0" fontId="5" fillId="4" borderId="0" xfId="3" applyFill="1" applyBorder="1" applyAlignment="1">
      <alignment horizontal="right"/>
    </xf>
    <xf numFmtId="0" fontId="5" fillId="4" borderId="0" xfId="3" applyFill="1" applyBorder="1"/>
    <xf numFmtId="0" fontId="5" fillId="0" borderId="0" xfId="3"/>
    <xf numFmtId="0" fontId="7" fillId="7" borderId="1" xfId="3" applyFont="1" applyFill="1" applyBorder="1" applyAlignment="1">
      <alignment horizontal="center"/>
    </xf>
    <xf numFmtId="0" fontId="5" fillId="7" borderId="1" xfId="3" applyFill="1" applyBorder="1" applyAlignment="1">
      <alignment horizontal="center"/>
    </xf>
    <xf numFmtId="0" fontId="7" fillId="0" borderId="22" xfId="3" applyFont="1" applyBorder="1" applyAlignment="1">
      <alignment horizontal="center"/>
    </xf>
    <xf numFmtId="0" fontId="9" fillId="0" borderId="0" xfId="3" applyFont="1" applyAlignment="1">
      <alignment horizontal="center"/>
    </xf>
    <xf numFmtId="0" fontId="9" fillId="0" borderId="23" xfId="3" applyFont="1" applyBorder="1" applyAlignment="1">
      <alignment horizontal="center"/>
    </xf>
    <xf numFmtId="0" fontId="9" fillId="0" borderId="0" xfId="3" applyFont="1" applyFill="1" applyBorder="1" applyAlignment="1">
      <alignment horizontal="center"/>
    </xf>
    <xf numFmtId="0" fontId="7" fillId="0" borderId="23" xfId="3" applyFont="1" applyBorder="1" applyAlignment="1">
      <alignment horizontal="center"/>
    </xf>
    <xf numFmtId="0" fontId="5" fillId="0" borderId="1" xfId="3" applyBorder="1"/>
    <xf numFmtId="3" fontId="5" fillId="0" borderId="1" xfId="3" applyNumberFormat="1" applyBorder="1"/>
    <xf numFmtId="0" fontId="5" fillId="0" borderId="0" xfId="3" applyAlignment="1">
      <alignment horizontal="center"/>
    </xf>
    <xf numFmtId="0" fontId="5" fillId="0" borderId="23" xfId="3" applyBorder="1" applyAlignment="1">
      <alignment horizontal="center"/>
    </xf>
    <xf numFmtId="0" fontId="5" fillId="0" borderId="23" xfId="3" applyBorder="1"/>
    <xf numFmtId="0" fontId="12" fillId="0" borderId="0" xfId="4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2" xfId="1" applyBorder="1" applyAlignment="1">
      <alignment horizontal="center"/>
    </xf>
    <xf numFmtId="0" fontId="2" fillId="2" borderId="1" xfId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3" borderId="1" xfId="2" applyBorder="1" applyAlignment="1">
      <alignment horizontal="center"/>
    </xf>
    <xf numFmtId="0" fontId="4" fillId="3" borderId="2" xfId="2" applyBorder="1" applyAlignment="1">
      <alignment horizontal="center"/>
    </xf>
    <xf numFmtId="0" fontId="4" fillId="3" borderId="1" xfId="2" applyBorder="1"/>
    <xf numFmtId="0" fontId="13" fillId="8" borderId="24" xfId="5"/>
    <xf numFmtId="0" fontId="13" fillId="8" borderId="24" xfId="5" applyAlignment="1">
      <alignment horizontal="center"/>
    </xf>
    <xf numFmtId="0" fontId="7" fillId="5" borderId="17" xfId="3" applyFont="1" applyFill="1" applyBorder="1" applyAlignment="1">
      <alignment horizontal="right"/>
    </xf>
    <xf numFmtId="0" fontId="7" fillId="5" borderId="0" xfId="3" applyFont="1" applyFill="1" applyBorder="1" applyAlignment="1">
      <alignment horizontal="right"/>
    </xf>
    <xf numFmtId="0" fontId="7" fillId="6" borderId="18" xfId="3" applyFont="1" applyFill="1" applyBorder="1" applyAlignment="1">
      <alignment horizontal="center"/>
    </xf>
    <xf numFmtId="0" fontId="7" fillId="6" borderId="19" xfId="3" applyFont="1" applyFill="1" applyBorder="1" applyAlignment="1">
      <alignment horizontal="center"/>
    </xf>
    <xf numFmtId="0" fontId="11" fillId="4" borderId="0" xfId="3" applyFont="1" applyFill="1" applyBorder="1" applyAlignment="1">
      <alignment horizontal="center" vertical="top"/>
    </xf>
    <xf numFmtId="0" fontId="10" fillId="5" borderId="1" xfId="3" applyFont="1" applyFill="1" applyBorder="1" applyAlignment="1">
      <alignment horizontal="center"/>
    </xf>
    <xf numFmtId="0" fontId="7" fillId="5" borderId="0" xfId="3" applyFont="1" applyFill="1" applyAlignment="1">
      <alignment horizontal="right"/>
    </xf>
    <xf numFmtId="0" fontId="7" fillId="5" borderId="20" xfId="3" applyFont="1" applyFill="1" applyBorder="1" applyAlignment="1">
      <alignment horizontal="right"/>
    </xf>
    <xf numFmtId="0" fontId="7" fillId="7" borderId="18" xfId="3" applyFont="1" applyFill="1" applyBorder="1" applyAlignment="1">
      <alignment horizontal="center"/>
    </xf>
    <xf numFmtId="0" fontId="7" fillId="7" borderId="19" xfId="3" applyFont="1" applyFill="1" applyBorder="1" applyAlignment="1">
      <alignment horizontal="center"/>
    </xf>
    <xf numFmtId="3" fontId="10" fillId="5" borderId="1" xfId="3" applyNumberFormat="1" applyFont="1" applyFill="1" applyBorder="1" applyAlignment="1">
      <alignment horizontal="center"/>
    </xf>
    <xf numFmtId="0" fontId="10" fillId="7" borderId="1" xfId="3" applyFont="1" applyFill="1" applyBorder="1" applyAlignment="1">
      <alignment horizontal="center"/>
    </xf>
    <xf numFmtId="3" fontId="7" fillId="5" borderId="12" xfId="3" applyNumberFormat="1" applyFont="1" applyFill="1" applyBorder="1" applyAlignment="1">
      <alignment horizontal="center"/>
    </xf>
    <xf numFmtId="3" fontId="10" fillId="7" borderId="1" xfId="3" applyNumberFormat="1" applyFont="1" applyFill="1" applyBorder="1" applyAlignment="1">
      <alignment horizontal="center"/>
    </xf>
    <xf numFmtId="0" fontId="7" fillId="7" borderId="1" xfId="3" applyFont="1" applyFill="1" applyBorder="1" applyAlignment="1">
      <alignment horizontal="center"/>
    </xf>
    <xf numFmtId="0" fontId="6" fillId="5" borderId="6" xfId="3" applyFont="1" applyFill="1" applyBorder="1" applyAlignment="1">
      <alignment horizontal="center"/>
    </xf>
    <xf numFmtId="0" fontId="6" fillId="5" borderId="13" xfId="3" applyFont="1" applyFill="1" applyBorder="1" applyAlignment="1">
      <alignment horizontal="center"/>
    </xf>
    <xf numFmtId="0" fontId="6" fillId="5" borderId="7" xfId="3" applyFont="1" applyFill="1" applyBorder="1" applyAlignment="1">
      <alignment horizontal="center"/>
    </xf>
    <xf numFmtId="0" fontId="7" fillId="6" borderId="1" xfId="3" applyFont="1" applyFill="1" applyBorder="1" applyAlignment="1">
      <alignment horizontal="center"/>
    </xf>
  </cellXfs>
  <cellStyles count="6">
    <cellStyle name="Good" xfId="1" builtinId="26"/>
    <cellStyle name="Hyperlink" xfId="4" builtinId="8"/>
    <cellStyle name="Input" xfId="5" builtinId="20"/>
    <cellStyle name="Neutral" xfId="2" builtinId="28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607695</xdr:colOff>
      <xdr:row>7</xdr:row>
      <xdr:rowOff>68580</xdr:rowOff>
    </xdr:from>
    <xdr:to>
      <xdr:col>8</xdr:col>
      <xdr:colOff>4392517</xdr:colOff>
      <xdr:row>17</xdr:row>
      <xdr:rowOff>36898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6895" y="1402080"/>
          <a:ext cx="5081915" cy="1916180"/>
        </a:xfrm>
        <a:prstGeom prst="rect">
          <a:avLst/>
        </a:prstGeom>
      </xdr:spPr>
    </xdr:pic>
    <xdr:clientData/>
  </xdr:twoCellAnchor>
  <xdr:twoCellAnchor>
    <xdr:from>
      <xdr:col>6</xdr:col>
      <xdr:colOff>607695</xdr:colOff>
      <xdr:row>0</xdr:row>
      <xdr:rowOff>15238</xdr:rowOff>
    </xdr:from>
    <xdr:to>
      <xdr:col>15</xdr:col>
      <xdr:colOff>401954</xdr:colOff>
      <xdr:row>7</xdr:row>
      <xdr:rowOff>34289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9446895" y="15238"/>
          <a:ext cx="5417819" cy="1352551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1. Use the Names found in your network connections from control panel as your "Network</a:t>
          </a:r>
          <a:r>
            <a:rPr lang="en-CA" sz="1100" baseline="0"/>
            <a:t> Device Column"</a:t>
          </a:r>
        </a:p>
        <a:p>
          <a:r>
            <a:rPr lang="en-CA" sz="1100" baseline="0"/>
            <a:t>2. Decide if the connection is STATIC or DHCP</a:t>
          </a:r>
        </a:p>
        <a:p>
          <a:r>
            <a:rPr lang="en-CA" sz="1100" baseline="0"/>
            <a:t>3. Enter the IP Address, Mask, and Gateway</a:t>
          </a:r>
        </a:p>
        <a:p>
          <a:r>
            <a:rPr lang="en-CA" sz="1100" baseline="0"/>
            <a:t>4. Give the Settings a unique Definition</a:t>
          </a:r>
        </a:p>
        <a:p>
          <a:r>
            <a:rPr lang="en-CA" sz="1100" baseline="0"/>
            <a:t>5. Select the Definition you want to use and click "Set IP"</a:t>
          </a:r>
        </a:p>
        <a:p>
          <a:r>
            <a:rPr lang="en-CA" sz="1100" baseline="0"/>
            <a:t>6. Accept the security Prompt</a:t>
          </a:r>
          <a:endParaRPr lang="en-CA" sz="1100"/>
        </a:p>
      </xdr:txBody>
    </xdr:sp>
    <xdr:clientData/>
  </xdr:twoCellAnchor>
  <xdr:twoCellAnchor editAs="oneCell">
    <xdr:from>
      <xdr:col>7</xdr:col>
      <xdr:colOff>16934</xdr:colOff>
      <xdr:row>39</xdr:row>
      <xdr:rowOff>152400</xdr:rowOff>
    </xdr:from>
    <xdr:to>
      <xdr:col>14</xdr:col>
      <xdr:colOff>209472</xdr:colOff>
      <xdr:row>48</xdr:row>
      <xdr:rowOff>172503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62067" y="7112000"/>
          <a:ext cx="10082134" cy="17756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Networking\NetWorkshee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s"/>
      <sheetName val="CLI"/>
      <sheetName val="Acronyms"/>
      <sheetName val="ICMP"/>
      <sheetName val="Ports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TmmC_@dm1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0"/>
  <sheetViews>
    <sheetView tabSelected="1" zoomScale="80" zoomScaleNormal="80" workbookViewId="0">
      <selection activeCell="E40" sqref="E40"/>
    </sheetView>
  </sheetViews>
  <sheetFormatPr defaultRowHeight="15" x14ac:dyDescent="0.25"/>
  <cols>
    <col min="1" max="1" width="50.7109375" style="2" bestFit="1" customWidth="1"/>
    <col min="2" max="6" width="15.7109375" style="63" customWidth="1"/>
    <col min="8" max="8" width="10" bestFit="1" customWidth="1"/>
    <col min="9" max="9" width="88" customWidth="1"/>
    <col min="10" max="10" width="10.7109375" bestFit="1" customWidth="1"/>
    <col min="11" max="11" width="10" bestFit="1" customWidth="1"/>
    <col min="13" max="13" width="9.85546875" bestFit="1" customWidth="1"/>
    <col min="14" max="14" width="7" bestFit="1" customWidth="1"/>
    <col min="16" max="16" width="7" bestFit="1" customWidth="1"/>
    <col min="21" max="21" width="16.5703125" bestFit="1" customWidth="1"/>
  </cols>
  <sheetData>
    <row r="1" spans="1:6" ht="18.600000000000001" thickBot="1" x14ac:dyDescent="0.4">
      <c r="A1" s="3" t="s">
        <v>20</v>
      </c>
      <c r="B1" s="61" t="s">
        <v>95</v>
      </c>
      <c r="C1" s="61" t="s">
        <v>0</v>
      </c>
      <c r="D1" s="61" t="s">
        <v>2</v>
      </c>
      <c r="E1" s="61" t="s">
        <v>3</v>
      </c>
      <c r="F1" s="62" t="s">
        <v>4</v>
      </c>
    </row>
    <row r="3" spans="1:6" x14ac:dyDescent="0.25">
      <c r="A3" s="4" t="s">
        <v>88</v>
      </c>
      <c r="B3" s="65" t="s">
        <v>79</v>
      </c>
      <c r="C3" s="65" t="s">
        <v>1</v>
      </c>
      <c r="D3" s="65"/>
      <c r="E3" s="65"/>
      <c r="F3" s="65"/>
    </row>
    <row r="4" spans="1:6" x14ac:dyDescent="0.25">
      <c r="A4" s="4" t="s">
        <v>83</v>
      </c>
      <c r="B4" s="65" t="s">
        <v>79</v>
      </c>
      <c r="C4" s="64" t="s">
        <v>5</v>
      </c>
      <c r="D4" s="65"/>
      <c r="E4" s="65"/>
      <c r="F4" s="65"/>
    </row>
    <row r="5" spans="1:6" x14ac:dyDescent="0.25">
      <c r="A5" s="4" t="s">
        <v>84</v>
      </c>
      <c r="B5" s="65" t="s">
        <v>79</v>
      </c>
      <c r="C5" s="64" t="s">
        <v>6</v>
      </c>
      <c r="D5" s="65"/>
      <c r="E5" s="65"/>
      <c r="F5" s="65"/>
    </row>
    <row r="7" spans="1:6" x14ac:dyDescent="0.25">
      <c r="A7" s="19" t="s">
        <v>87</v>
      </c>
      <c r="B7" s="67" t="s">
        <v>80</v>
      </c>
      <c r="C7" s="67" t="s">
        <v>1</v>
      </c>
      <c r="D7" s="67"/>
      <c r="E7" s="67"/>
      <c r="F7" s="67"/>
    </row>
    <row r="8" spans="1:6" x14ac:dyDescent="0.25">
      <c r="A8" s="19" t="s">
        <v>85</v>
      </c>
      <c r="B8" s="67" t="s">
        <v>80</v>
      </c>
      <c r="C8" s="68" t="s">
        <v>5</v>
      </c>
      <c r="D8" s="67"/>
      <c r="E8" s="67"/>
      <c r="F8" s="67"/>
    </row>
    <row r="9" spans="1:6" x14ac:dyDescent="0.25">
      <c r="A9" s="19" t="s">
        <v>86</v>
      </c>
      <c r="B9" s="67" t="s">
        <v>80</v>
      </c>
      <c r="C9" s="68" t="s">
        <v>6</v>
      </c>
      <c r="D9" s="67"/>
      <c r="E9" s="67"/>
      <c r="F9" s="67"/>
    </row>
    <row r="11" spans="1:6" x14ac:dyDescent="0.25">
      <c r="A11" s="5" t="s">
        <v>92</v>
      </c>
      <c r="B11" s="65" t="s">
        <v>79</v>
      </c>
      <c r="C11" s="65" t="s">
        <v>21</v>
      </c>
      <c r="D11" s="65" t="s">
        <v>69</v>
      </c>
      <c r="E11" s="65" t="s">
        <v>22</v>
      </c>
      <c r="F11" s="65" t="s">
        <v>26</v>
      </c>
    </row>
    <row r="12" spans="1:6" x14ac:dyDescent="0.25">
      <c r="A12" s="5" t="s">
        <v>93</v>
      </c>
      <c r="B12" s="65" t="s">
        <v>79</v>
      </c>
      <c r="C12" s="65" t="s">
        <v>21</v>
      </c>
      <c r="D12" s="65" t="s">
        <v>81</v>
      </c>
      <c r="E12" s="65" t="s">
        <v>22</v>
      </c>
      <c r="F12" s="65" t="s">
        <v>26</v>
      </c>
    </row>
    <row r="13" spans="1:6" x14ac:dyDescent="0.25">
      <c r="A13" s="5" t="s">
        <v>94</v>
      </c>
      <c r="B13" s="65" t="s">
        <v>79</v>
      </c>
      <c r="C13" s="65" t="s">
        <v>21</v>
      </c>
      <c r="D13" s="65" t="s">
        <v>82</v>
      </c>
      <c r="E13" s="65" t="s">
        <v>22</v>
      </c>
      <c r="F13" s="65" t="s">
        <v>26</v>
      </c>
    </row>
    <row r="15" spans="1:6" x14ac:dyDescent="0.25">
      <c r="A15" s="69" t="s">
        <v>89</v>
      </c>
      <c r="B15" s="67" t="s">
        <v>80</v>
      </c>
      <c r="C15" s="67" t="s">
        <v>21</v>
      </c>
      <c r="D15" s="67" t="s">
        <v>69</v>
      </c>
      <c r="E15" s="67" t="s">
        <v>22</v>
      </c>
      <c r="F15" s="67" t="s">
        <v>26</v>
      </c>
    </row>
    <row r="16" spans="1:6" x14ac:dyDescent="0.25">
      <c r="A16" s="69" t="s">
        <v>90</v>
      </c>
      <c r="B16" s="67" t="s">
        <v>80</v>
      </c>
      <c r="C16" s="67" t="s">
        <v>21</v>
      </c>
      <c r="D16" s="67" t="s">
        <v>81</v>
      </c>
      <c r="E16" s="67" t="s">
        <v>22</v>
      </c>
      <c r="F16" s="67" t="s">
        <v>26</v>
      </c>
    </row>
    <row r="17" spans="1:17" x14ac:dyDescent="0.25">
      <c r="A17" s="69" t="s">
        <v>91</v>
      </c>
      <c r="B17" s="67" t="s">
        <v>80</v>
      </c>
      <c r="C17" s="67" t="s">
        <v>21</v>
      </c>
      <c r="D17" s="67" t="s">
        <v>82</v>
      </c>
      <c r="E17" s="67" t="s">
        <v>22</v>
      </c>
      <c r="F17" s="67" t="s">
        <v>26</v>
      </c>
    </row>
    <row r="18" spans="1:17" ht="15.75" thickBot="1" x14ac:dyDescent="0.3">
      <c r="A18" s="10"/>
      <c r="B18" s="66"/>
      <c r="C18" s="66"/>
      <c r="D18" s="66"/>
      <c r="E18" s="66"/>
      <c r="F18" s="66"/>
      <c r="M18" s="1"/>
    </row>
    <row r="19" spans="1:17" x14ac:dyDescent="0.25">
      <c r="A19" s="70" t="s">
        <v>96</v>
      </c>
      <c r="B19" s="71" t="s">
        <v>80</v>
      </c>
      <c r="C19" s="71" t="s">
        <v>21</v>
      </c>
      <c r="D19" s="71" t="s">
        <v>98</v>
      </c>
      <c r="E19" s="71" t="s">
        <v>22</v>
      </c>
      <c r="F19" s="71"/>
      <c r="H19" s="13" t="s">
        <v>7</v>
      </c>
      <c r="I19" s="12" t="s">
        <v>13</v>
      </c>
      <c r="J19" s="6"/>
      <c r="K19" s="6"/>
      <c r="L19" s="6"/>
      <c r="M19" s="6"/>
      <c r="N19" s="6"/>
      <c r="O19" s="6"/>
      <c r="P19" s="6"/>
      <c r="Q19" s="6"/>
    </row>
    <row r="20" spans="1:17" x14ac:dyDescent="0.25">
      <c r="A20" s="70" t="s">
        <v>97</v>
      </c>
      <c r="B20" s="71" t="s">
        <v>80</v>
      </c>
      <c r="C20" s="71" t="s">
        <v>21</v>
      </c>
      <c r="D20" s="71" t="s">
        <v>102</v>
      </c>
      <c r="E20" s="71" t="s">
        <v>100</v>
      </c>
      <c r="F20" s="71" t="s">
        <v>101</v>
      </c>
      <c r="H20" s="14" t="s">
        <v>8</v>
      </c>
      <c r="I20" s="7" t="s">
        <v>9</v>
      </c>
      <c r="J20" s="6"/>
      <c r="K20" s="6"/>
      <c r="L20" s="6"/>
      <c r="M20" s="6"/>
      <c r="N20" s="6"/>
      <c r="O20" s="6"/>
      <c r="P20" s="6"/>
      <c r="Q20" s="6"/>
    </row>
    <row r="21" spans="1:17" x14ac:dyDescent="0.25">
      <c r="A21" s="70" t="s">
        <v>99</v>
      </c>
      <c r="B21" s="71" t="s">
        <v>79</v>
      </c>
      <c r="C21" s="71" t="s">
        <v>1</v>
      </c>
      <c r="D21" s="71"/>
      <c r="E21" s="71"/>
      <c r="F21" s="71"/>
      <c r="H21" s="14" t="s">
        <v>10</v>
      </c>
      <c r="I21" s="7" t="s">
        <v>11</v>
      </c>
      <c r="J21" s="6"/>
      <c r="K21" s="6"/>
      <c r="L21" s="6"/>
      <c r="M21" s="6"/>
      <c r="N21" s="6"/>
      <c r="O21" s="6"/>
      <c r="P21" s="6"/>
      <c r="Q21" s="6"/>
    </row>
    <row r="22" spans="1:17" x14ac:dyDescent="0.25">
      <c r="H22" s="14" t="s">
        <v>14</v>
      </c>
      <c r="I22" s="7" t="s">
        <v>12</v>
      </c>
      <c r="J22" s="6"/>
      <c r="K22" s="6"/>
      <c r="L22" s="6"/>
      <c r="M22" s="6"/>
      <c r="N22" s="6"/>
      <c r="O22" s="6"/>
      <c r="P22" s="6"/>
      <c r="Q22" s="6"/>
    </row>
    <row r="23" spans="1:17" x14ac:dyDescent="0.25">
      <c r="H23" s="14">
        <v>20160229</v>
      </c>
      <c r="I23" s="7" t="s">
        <v>15</v>
      </c>
      <c r="J23" s="6"/>
      <c r="K23" s="6"/>
      <c r="L23" s="6"/>
      <c r="M23" s="6"/>
      <c r="N23" s="6"/>
      <c r="O23" s="6"/>
      <c r="P23" s="6"/>
      <c r="Q23" s="6"/>
    </row>
    <row r="24" spans="1:17" x14ac:dyDescent="0.25">
      <c r="H24" s="14">
        <v>20160229</v>
      </c>
      <c r="I24" s="7" t="s">
        <v>16</v>
      </c>
      <c r="J24" s="6"/>
      <c r="K24" s="6"/>
      <c r="L24" s="6"/>
      <c r="M24" s="6"/>
      <c r="N24" s="6"/>
      <c r="O24" s="6"/>
      <c r="P24" s="6"/>
      <c r="Q24" s="6"/>
    </row>
    <row r="25" spans="1:17" x14ac:dyDescent="0.25">
      <c r="H25" s="14">
        <v>20160301</v>
      </c>
      <c r="I25" s="7" t="s">
        <v>17</v>
      </c>
      <c r="J25" s="6"/>
      <c r="K25" s="6"/>
      <c r="L25" s="6"/>
      <c r="M25" s="6"/>
      <c r="N25" s="6"/>
      <c r="O25" s="6"/>
      <c r="P25" s="6"/>
      <c r="Q25" s="6"/>
    </row>
    <row r="26" spans="1:17" x14ac:dyDescent="0.25">
      <c r="H26" s="14">
        <v>20160616</v>
      </c>
      <c r="I26" s="11" t="s">
        <v>18</v>
      </c>
      <c r="J26" s="6"/>
      <c r="K26" s="6"/>
      <c r="L26" s="6"/>
      <c r="M26" s="6"/>
      <c r="N26" s="6"/>
      <c r="O26" s="6"/>
      <c r="P26" s="6"/>
      <c r="Q26" s="6"/>
    </row>
    <row r="27" spans="1:17" x14ac:dyDescent="0.25">
      <c r="H27" s="14">
        <v>20160616</v>
      </c>
      <c r="I27" s="11" t="s">
        <v>19</v>
      </c>
      <c r="J27" s="6"/>
      <c r="K27" s="6"/>
      <c r="L27" s="6"/>
      <c r="M27" s="6"/>
      <c r="N27" s="6"/>
      <c r="O27" s="6"/>
      <c r="P27" s="6"/>
      <c r="Q27" s="6"/>
    </row>
    <row r="28" spans="1:17" x14ac:dyDescent="0.25">
      <c r="H28" s="15">
        <v>20170606</v>
      </c>
      <c r="I28" s="11" t="s">
        <v>23</v>
      </c>
      <c r="J28" s="6"/>
      <c r="K28" s="6"/>
      <c r="L28" s="6"/>
      <c r="M28" s="6"/>
      <c r="N28" s="6"/>
      <c r="O28" s="6"/>
      <c r="P28" s="6"/>
      <c r="Q28" s="6"/>
    </row>
    <row r="29" spans="1:17" x14ac:dyDescent="0.25">
      <c r="H29" s="15">
        <v>20170607</v>
      </c>
      <c r="I29" s="7" t="s">
        <v>24</v>
      </c>
      <c r="J29" s="6"/>
      <c r="K29" s="6"/>
      <c r="L29" s="6"/>
      <c r="M29" s="6"/>
      <c r="N29" s="6"/>
      <c r="O29" s="6"/>
      <c r="P29" s="6"/>
      <c r="Q29" s="6"/>
    </row>
    <row r="30" spans="1:17" x14ac:dyDescent="0.25">
      <c r="H30" s="16">
        <v>20170715</v>
      </c>
      <c r="I30" s="11" t="s">
        <v>25</v>
      </c>
      <c r="J30" s="6"/>
      <c r="K30" s="6"/>
      <c r="L30" s="6"/>
      <c r="M30" s="6"/>
      <c r="N30" s="6"/>
      <c r="O30" s="6"/>
      <c r="P30" s="6"/>
      <c r="Q30" s="6"/>
    </row>
    <row r="31" spans="1:17" x14ac:dyDescent="0.25">
      <c r="H31" s="15">
        <v>20171108</v>
      </c>
      <c r="I31" s="7" t="s">
        <v>28</v>
      </c>
      <c r="J31" s="6"/>
      <c r="K31" s="6"/>
      <c r="L31" s="6"/>
      <c r="M31" s="6"/>
      <c r="N31" s="6"/>
      <c r="O31" s="6"/>
      <c r="P31" s="6"/>
      <c r="Q31" s="6"/>
    </row>
    <row r="32" spans="1:17" x14ac:dyDescent="0.25">
      <c r="A32" s="9"/>
      <c r="H32" s="15" t="s">
        <v>29</v>
      </c>
      <c r="I32" s="7" t="s">
        <v>30</v>
      </c>
    </row>
    <row r="33" spans="1:9" x14ac:dyDescent="0.25">
      <c r="A33" s="9"/>
      <c r="H33" s="15"/>
      <c r="I33" s="7"/>
    </row>
    <row r="34" spans="1:9" x14ac:dyDescent="0.25">
      <c r="A34" s="9"/>
      <c r="H34" s="15"/>
      <c r="I34" s="7"/>
    </row>
    <row r="35" spans="1:9" x14ac:dyDescent="0.25">
      <c r="A35" s="9"/>
      <c r="H35" s="15"/>
      <c r="I35" s="7"/>
    </row>
    <row r="36" spans="1:9" x14ac:dyDescent="0.25">
      <c r="H36" s="15" t="s">
        <v>29</v>
      </c>
      <c r="I36" s="7" t="s">
        <v>34</v>
      </c>
    </row>
    <row r="37" spans="1:9" x14ac:dyDescent="0.25">
      <c r="A37" s="10"/>
      <c r="B37" s="66"/>
      <c r="C37" s="66"/>
      <c r="D37" s="66"/>
      <c r="E37" s="66"/>
      <c r="F37" s="66"/>
      <c r="H37" s="15"/>
      <c r="I37" s="7"/>
    </row>
    <row r="38" spans="1:9" ht="15.75" thickBot="1" x14ac:dyDescent="0.3">
      <c r="H38" s="17"/>
      <c r="I38" s="8"/>
    </row>
    <row r="39" spans="1:9" x14ac:dyDescent="0.25">
      <c r="A39" s="10"/>
      <c r="B39" s="66"/>
      <c r="C39" s="66"/>
      <c r="D39" s="66"/>
      <c r="E39" s="66"/>
      <c r="F39" s="66"/>
    </row>
    <row r="40" spans="1:9" x14ac:dyDescent="0.25">
      <c r="A40" s="10"/>
      <c r="B40" s="66"/>
      <c r="C40" s="66"/>
      <c r="D40" s="66"/>
      <c r="E40" s="66"/>
      <c r="F40" s="66"/>
    </row>
    <row r="47" spans="1:9" x14ac:dyDescent="0.25">
      <c r="A47" s="18"/>
      <c r="B47" s="66"/>
      <c r="C47" s="66"/>
      <c r="D47" s="66"/>
      <c r="E47" s="66"/>
      <c r="F47" s="66"/>
    </row>
    <row r="49" spans="2:6" x14ac:dyDescent="0.25">
      <c r="B49" s="66"/>
      <c r="C49" s="66"/>
      <c r="D49" s="66"/>
      <c r="E49" s="66"/>
      <c r="F49" s="66"/>
    </row>
    <row r="50" spans="2:6" x14ac:dyDescent="0.25">
      <c r="B50" s="66"/>
      <c r="C50" s="66"/>
      <c r="D50" s="66"/>
      <c r="E50" s="66"/>
      <c r="F50" s="6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P21"/>
  <sheetViews>
    <sheetView workbookViewId="0">
      <selection activeCell="F3" sqref="F3"/>
    </sheetView>
  </sheetViews>
  <sheetFormatPr defaultColWidth="9.140625" defaultRowHeight="12.75" x14ac:dyDescent="0.2"/>
  <cols>
    <col min="1" max="1" width="1.28515625" style="21" customWidth="1"/>
    <col min="2" max="2" width="15.140625" style="20" customWidth="1"/>
    <col min="3" max="10" width="4" style="21" customWidth="1"/>
    <col min="11" max="11" width="1.7109375" style="21" customWidth="1"/>
    <col min="12" max="19" width="4" style="21" customWidth="1"/>
    <col min="20" max="20" width="1.7109375" style="21" customWidth="1"/>
    <col min="21" max="28" width="4" style="21" customWidth="1"/>
    <col min="29" max="29" width="1.7109375" style="21" customWidth="1"/>
    <col min="30" max="37" width="4" style="21" customWidth="1"/>
    <col min="38" max="38" width="3.85546875" style="21" customWidth="1"/>
    <col min="39" max="16384" width="9.140625" style="21"/>
  </cols>
  <sheetData>
    <row r="1" spans="2:38" ht="6.95" customHeight="1" thickBot="1" x14ac:dyDescent="0.3"/>
    <row r="2" spans="2:38" ht="17.45" x14ac:dyDescent="0.3">
      <c r="B2" s="87" t="s">
        <v>35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9"/>
    </row>
    <row r="3" spans="2:38" ht="12.75" customHeight="1" x14ac:dyDescent="0.25">
      <c r="B3" s="22" t="s">
        <v>36</v>
      </c>
      <c r="C3" s="23">
        <v>10</v>
      </c>
      <c r="D3" s="23">
        <v>10</v>
      </c>
      <c r="E3" s="23">
        <v>10</v>
      </c>
      <c r="F3" s="23">
        <v>0</v>
      </c>
      <c r="G3" s="24" t="s">
        <v>37</v>
      </c>
      <c r="H3" s="23">
        <v>24</v>
      </c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6"/>
    </row>
    <row r="4" spans="2:38" ht="12.75" customHeight="1" x14ac:dyDescent="0.25"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6"/>
    </row>
    <row r="5" spans="2:38" ht="12.75" customHeight="1" x14ac:dyDescent="0.3">
      <c r="B5" s="27"/>
      <c r="C5" s="90" t="s">
        <v>38</v>
      </c>
      <c r="D5" s="90"/>
      <c r="E5" s="90"/>
      <c r="F5" s="90"/>
      <c r="G5" s="90"/>
      <c r="H5" s="90"/>
      <c r="I5" s="90"/>
      <c r="J5" s="90"/>
      <c r="K5" s="28"/>
      <c r="L5" s="90" t="s">
        <v>39</v>
      </c>
      <c r="M5" s="90"/>
      <c r="N5" s="90"/>
      <c r="O5" s="90"/>
      <c r="P5" s="90"/>
      <c r="Q5" s="90"/>
      <c r="R5" s="90"/>
      <c r="S5" s="90"/>
      <c r="T5" s="28"/>
      <c r="U5" s="90" t="s">
        <v>40</v>
      </c>
      <c r="V5" s="90"/>
      <c r="W5" s="90"/>
      <c r="X5" s="90"/>
      <c r="Y5" s="90"/>
      <c r="Z5" s="90"/>
      <c r="AA5" s="90"/>
      <c r="AB5" s="90"/>
      <c r="AC5" s="28"/>
      <c r="AD5" s="90" t="s">
        <v>41</v>
      </c>
      <c r="AE5" s="90"/>
      <c r="AF5" s="90"/>
      <c r="AG5" s="90"/>
      <c r="AH5" s="90"/>
      <c r="AI5" s="90"/>
      <c r="AJ5" s="90"/>
      <c r="AK5" s="90"/>
      <c r="AL5" s="26"/>
    </row>
    <row r="6" spans="2:38" ht="12.75" customHeight="1" x14ac:dyDescent="0.3">
      <c r="B6" s="27" t="s">
        <v>42</v>
      </c>
      <c r="C6" s="29">
        <v>1</v>
      </c>
      <c r="D6" s="29">
        <v>2</v>
      </c>
      <c r="E6" s="29">
        <v>3</v>
      </c>
      <c r="F6" s="29">
        <v>4</v>
      </c>
      <c r="G6" s="29">
        <v>5</v>
      </c>
      <c r="H6" s="29">
        <v>6</v>
      </c>
      <c r="I6" s="29">
        <v>7</v>
      </c>
      <c r="J6" s="29">
        <v>8</v>
      </c>
      <c r="K6" s="28" t="s">
        <v>14</v>
      </c>
      <c r="L6" s="29">
        <v>9</v>
      </c>
      <c r="M6" s="29">
        <v>10</v>
      </c>
      <c r="N6" s="29">
        <v>11</v>
      </c>
      <c r="O6" s="29">
        <v>12</v>
      </c>
      <c r="P6" s="29">
        <v>13</v>
      </c>
      <c r="Q6" s="29">
        <v>14</v>
      </c>
      <c r="R6" s="29">
        <v>15</v>
      </c>
      <c r="S6" s="29">
        <v>16</v>
      </c>
      <c r="T6" s="28" t="s">
        <v>14</v>
      </c>
      <c r="U6" s="29">
        <v>17</v>
      </c>
      <c r="V6" s="29">
        <v>18</v>
      </c>
      <c r="W6" s="29">
        <v>19</v>
      </c>
      <c r="X6" s="29">
        <v>20</v>
      </c>
      <c r="Y6" s="29">
        <v>21</v>
      </c>
      <c r="Z6" s="29">
        <v>22</v>
      </c>
      <c r="AA6" s="29">
        <v>23</v>
      </c>
      <c r="AB6" s="29">
        <v>24</v>
      </c>
      <c r="AC6" s="28" t="s">
        <v>14</v>
      </c>
      <c r="AD6" s="29">
        <v>25</v>
      </c>
      <c r="AE6" s="29">
        <v>26</v>
      </c>
      <c r="AF6" s="29">
        <v>27</v>
      </c>
      <c r="AG6" s="29">
        <v>28</v>
      </c>
      <c r="AH6" s="29">
        <v>29</v>
      </c>
      <c r="AI6" s="29">
        <v>30</v>
      </c>
      <c r="AJ6" s="29">
        <v>31</v>
      </c>
      <c r="AK6" s="29">
        <v>32</v>
      </c>
      <c r="AL6" s="26"/>
    </row>
    <row r="7" spans="2:38" ht="12.75" customHeight="1" x14ac:dyDescent="0.3">
      <c r="B7" s="27" t="s">
        <v>43</v>
      </c>
      <c r="C7" s="30">
        <v>128</v>
      </c>
      <c r="D7" s="30">
        <v>64</v>
      </c>
      <c r="E7" s="30">
        <v>32</v>
      </c>
      <c r="F7" s="30">
        <v>16</v>
      </c>
      <c r="G7" s="30">
        <v>8</v>
      </c>
      <c r="H7" s="30">
        <v>4</v>
      </c>
      <c r="I7" s="30">
        <v>2</v>
      </c>
      <c r="J7" s="30">
        <v>1</v>
      </c>
      <c r="K7" s="28" t="s">
        <v>14</v>
      </c>
      <c r="L7" s="30">
        <v>128</v>
      </c>
      <c r="M7" s="30">
        <v>64</v>
      </c>
      <c r="N7" s="30">
        <v>32</v>
      </c>
      <c r="O7" s="30">
        <v>16</v>
      </c>
      <c r="P7" s="30">
        <v>8</v>
      </c>
      <c r="Q7" s="30">
        <v>4</v>
      </c>
      <c r="R7" s="30">
        <v>2</v>
      </c>
      <c r="S7" s="30">
        <v>1</v>
      </c>
      <c r="T7" s="28" t="s">
        <v>14</v>
      </c>
      <c r="U7" s="30">
        <v>128</v>
      </c>
      <c r="V7" s="30">
        <v>64</v>
      </c>
      <c r="W7" s="30">
        <v>32</v>
      </c>
      <c r="X7" s="30">
        <v>16</v>
      </c>
      <c r="Y7" s="30">
        <v>8</v>
      </c>
      <c r="Z7" s="30">
        <v>4</v>
      </c>
      <c r="AA7" s="30">
        <v>2</v>
      </c>
      <c r="AB7" s="30">
        <v>1</v>
      </c>
      <c r="AC7" s="28" t="s">
        <v>14</v>
      </c>
      <c r="AD7" s="30">
        <v>128</v>
      </c>
      <c r="AE7" s="30">
        <v>64</v>
      </c>
      <c r="AF7" s="30">
        <v>32</v>
      </c>
      <c r="AG7" s="30">
        <v>16</v>
      </c>
      <c r="AH7" s="30">
        <v>8</v>
      </c>
      <c r="AI7" s="30">
        <v>4</v>
      </c>
      <c r="AJ7" s="30">
        <v>2</v>
      </c>
      <c r="AK7" s="30">
        <v>1</v>
      </c>
      <c r="AL7" s="26"/>
    </row>
    <row r="8" spans="2:38" ht="12.75" customHeight="1" x14ac:dyDescent="0.3">
      <c r="B8" s="27" t="s">
        <v>44</v>
      </c>
      <c r="C8" s="86">
        <f>IF($C$3&lt;&gt;"",$C$3,"")</f>
        <v>10</v>
      </c>
      <c r="D8" s="86"/>
      <c r="E8" s="86"/>
      <c r="F8" s="86"/>
      <c r="G8" s="86"/>
      <c r="H8" s="86"/>
      <c r="I8" s="86"/>
      <c r="J8" s="86"/>
      <c r="K8" s="28" t="s">
        <v>45</v>
      </c>
      <c r="L8" s="86">
        <f>IF($D$3&lt;&gt;"",$D$3,"")</f>
        <v>10</v>
      </c>
      <c r="M8" s="86"/>
      <c r="N8" s="86"/>
      <c r="O8" s="86"/>
      <c r="P8" s="86"/>
      <c r="Q8" s="86"/>
      <c r="R8" s="86"/>
      <c r="S8" s="86"/>
      <c r="T8" s="28" t="s">
        <v>45</v>
      </c>
      <c r="U8" s="86">
        <f>IF($E$3&lt;&gt;"",$E$3,"")</f>
        <v>10</v>
      </c>
      <c r="V8" s="86"/>
      <c r="W8" s="86"/>
      <c r="X8" s="86"/>
      <c r="Y8" s="86"/>
      <c r="Z8" s="86"/>
      <c r="AA8" s="86"/>
      <c r="AB8" s="86"/>
      <c r="AC8" s="28" t="s">
        <v>45</v>
      </c>
      <c r="AD8" s="86">
        <f>IF($F$3&lt;&gt;"",$F$3,"")</f>
        <v>0</v>
      </c>
      <c r="AE8" s="86"/>
      <c r="AF8" s="86"/>
      <c r="AG8" s="86"/>
      <c r="AH8" s="86"/>
      <c r="AI8" s="86"/>
      <c r="AJ8" s="86"/>
      <c r="AK8" s="86"/>
      <c r="AL8" s="26"/>
    </row>
    <row r="9" spans="2:38" ht="12.75" customHeight="1" x14ac:dyDescent="0.3">
      <c r="B9" s="27" t="s">
        <v>46</v>
      </c>
      <c r="C9" s="30">
        <f>VLOOKUP($C$3,range,2)</f>
        <v>0</v>
      </c>
      <c r="D9" s="30">
        <f>VLOOKUP($C$3,range,3)</f>
        <v>0</v>
      </c>
      <c r="E9" s="30">
        <f>VLOOKUP($C$3,range,4)</f>
        <v>0</v>
      </c>
      <c r="F9" s="30">
        <f>VLOOKUP($C$3,range,5)</f>
        <v>0</v>
      </c>
      <c r="G9" s="30">
        <f>VLOOKUP($C$3,range,6)</f>
        <v>1</v>
      </c>
      <c r="H9" s="30">
        <f>VLOOKUP($C$3,range,7)</f>
        <v>0</v>
      </c>
      <c r="I9" s="30">
        <f>VLOOKUP($C$3,range,8)</f>
        <v>1</v>
      </c>
      <c r="J9" s="30">
        <f>VLOOKUP($C$3,range,9)</f>
        <v>0</v>
      </c>
      <c r="K9" s="28" t="s">
        <v>45</v>
      </c>
      <c r="L9" s="30">
        <f>VLOOKUP($D$3,range,2)</f>
        <v>0</v>
      </c>
      <c r="M9" s="30">
        <f>VLOOKUP($D$3,range,3)</f>
        <v>0</v>
      </c>
      <c r="N9" s="30">
        <f>VLOOKUP($D$3,range,4)</f>
        <v>0</v>
      </c>
      <c r="O9" s="30">
        <f>VLOOKUP($D$3,range,5)</f>
        <v>0</v>
      </c>
      <c r="P9" s="30">
        <f>VLOOKUP($D$3,range,6)</f>
        <v>1</v>
      </c>
      <c r="Q9" s="30">
        <f>VLOOKUP($D$3,range,7)</f>
        <v>0</v>
      </c>
      <c r="R9" s="30">
        <f>VLOOKUP($D$3,range,8)</f>
        <v>1</v>
      </c>
      <c r="S9" s="30">
        <f>VLOOKUP($D$3,range,9)</f>
        <v>0</v>
      </c>
      <c r="T9" s="28" t="s">
        <v>45</v>
      </c>
      <c r="U9" s="30">
        <f>VLOOKUP($E$3,range,2)</f>
        <v>0</v>
      </c>
      <c r="V9" s="30">
        <f>VLOOKUP($E$3,range,3)</f>
        <v>0</v>
      </c>
      <c r="W9" s="30">
        <f>VLOOKUP($E$3,range,4)</f>
        <v>0</v>
      </c>
      <c r="X9" s="30">
        <f>VLOOKUP($E$3,range,5)</f>
        <v>0</v>
      </c>
      <c r="Y9" s="30">
        <f>VLOOKUP($E$3,range,6)</f>
        <v>1</v>
      </c>
      <c r="Z9" s="30">
        <f>VLOOKUP($E$3,range,7)</f>
        <v>0</v>
      </c>
      <c r="AA9" s="30">
        <f>VLOOKUP($E$3,range,8)</f>
        <v>1</v>
      </c>
      <c r="AB9" s="30">
        <f>VLOOKUP($E$3,range,9)</f>
        <v>0</v>
      </c>
      <c r="AC9" s="28" t="s">
        <v>45</v>
      </c>
      <c r="AD9" s="30">
        <f>VLOOKUP($F$3,range,2)</f>
        <v>0</v>
      </c>
      <c r="AE9" s="30">
        <f>VLOOKUP($F$3,range,3)</f>
        <v>0</v>
      </c>
      <c r="AF9" s="30">
        <f>VLOOKUP($F$3,range,4)</f>
        <v>0</v>
      </c>
      <c r="AG9" s="30">
        <f>VLOOKUP($F$3,range,5)</f>
        <v>0</v>
      </c>
      <c r="AH9" s="30">
        <f>VLOOKUP($F$3,range,6)</f>
        <v>0</v>
      </c>
      <c r="AI9" s="30">
        <f>VLOOKUP($F$3,range,7)</f>
        <v>0</v>
      </c>
      <c r="AJ9" s="30">
        <f>VLOOKUP($F$3,range,8)</f>
        <v>0</v>
      </c>
      <c r="AK9" s="30">
        <f>VLOOKUP($F$3,range,9)</f>
        <v>0</v>
      </c>
      <c r="AL9" s="26"/>
    </row>
    <row r="10" spans="2:38" ht="12.75" customHeight="1" x14ac:dyDescent="0.3">
      <c r="B10" s="27" t="s">
        <v>47</v>
      </c>
      <c r="C10" s="86">
        <f>IF($H$3&lt;&gt;"",C11*C7+D11*D7+E11*E7+F11*F7+G11*G7+H11*H7+I11*I7+J11*J7,"")</f>
        <v>255</v>
      </c>
      <c r="D10" s="86"/>
      <c r="E10" s="86"/>
      <c r="F10" s="86"/>
      <c r="G10" s="86"/>
      <c r="H10" s="86"/>
      <c r="I10" s="86"/>
      <c r="J10" s="86"/>
      <c r="K10" s="28" t="s">
        <v>45</v>
      </c>
      <c r="L10" s="86">
        <f>IF($H$3&lt;&gt;"",L11*L7+M11*M7+N11*N7+O11*O7+P11*P7+Q11*Q7+R11*R7+S11*S7,"")</f>
        <v>255</v>
      </c>
      <c r="M10" s="86"/>
      <c r="N10" s="86"/>
      <c r="O10" s="86"/>
      <c r="P10" s="86"/>
      <c r="Q10" s="86"/>
      <c r="R10" s="86"/>
      <c r="S10" s="86"/>
      <c r="T10" s="28" t="s">
        <v>45</v>
      </c>
      <c r="U10" s="86">
        <f>IF($H$3&lt;&gt;"",U11*U7+V11*V7+W11*W7+X11*X7+Y11*Y7+Z11*Z7+AA11*AA7+AB11*AB7,"")</f>
        <v>255</v>
      </c>
      <c r="V10" s="86"/>
      <c r="W10" s="86"/>
      <c r="X10" s="86"/>
      <c r="Y10" s="86"/>
      <c r="Z10" s="86"/>
      <c r="AA10" s="86"/>
      <c r="AB10" s="86"/>
      <c r="AC10" s="28" t="s">
        <v>45</v>
      </c>
      <c r="AD10" s="86">
        <f>IF($H$3&lt;&gt;"",AD11*AD7+AE11*AE7+AF11*AF7+AG11*AG7+AH11*AH7+AI11*AI7+AJ11*AJ7+AK11*AK7,"")</f>
        <v>0</v>
      </c>
      <c r="AE10" s="86"/>
      <c r="AF10" s="86"/>
      <c r="AG10" s="86"/>
      <c r="AH10" s="86"/>
      <c r="AI10" s="86"/>
      <c r="AJ10" s="86"/>
      <c r="AK10" s="86"/>
      <c r="AL10" s="26"/>
    </row>
    <row r="11" spans="2:38" ht="12.75" customHeight="1" x14ac:dyDescent="0.3">
      <c r="B11" s="27" t="s">
        <v>48</v>
      </c>
      <c r="C11" s="30">
        <f t="shared" ref="C11:J11" si="0">IF(C$6&gt;$H$3,0,1)</f>
        <v>1</v>
      </c>
      <c r="D11" s="30">
        <f t="shared" si="0"/>
        <v>1</v>
      </c>
      <c r="E11" s="30">
        <f t="shared" si="0"/>
        <v>1</v>
      </c>
      <c r="F11" s="30">
        <f t="shared" si="0"/>
        <v>1</v>
      </c>
      <c r="G11" s="30">
        <f t="shared" si="0"/>
        <v>1</v>
      </c>
      <c r="H11" s="30">
        <f t="shared" si="0"/>
        <v>1</v>
      </c>
      <c r="I11" s="30">
        <f t="shared" si="0"/>
        <v>1</v>
      </c>
      <c r="J11" s="30">
        <f t="shared" si="0"/>
        <v>1</v>
      </c>
      <c r="K11" s="28" t="s">
        <v>45</v>
      </c>
      <c r="L11" s="30">
        <f t="shared" ref="L11:S11" si="1">IF(L$6&gt;$H$3,0,1)</f>
        <v>1</v>
      </c>
      <c r="M11" s="30">
        <f t="shared" si="1"/>
        <v>1</v>
      </c>
      <c r="N11" s="30">
        <f t="shared" si="1"/>
        <v>1</v>
      </c>
      <c r="O11" s="30">
        <f t="shared" si="1"/>
        <v>1</v>
      </c>
      <c r="P11" s="30">
        <f t="shared" si="1"/>
        <v>1</v>
      </c>
      <c r="Q11" s="30">
        <f t="shared" si="1"/>
        <v>1</v>
      </c>
      <c r="R11" s="30">
        <f t="shared" si="1"/>
        <v>1</v>
      </c>
      <c r="S11" s="30">
        <f t="shared" si="1"/>
        <v>1</v>
      </c>
      <c r="T11" s="28" t="s">
        <v>45</v>
      </c>
      <c r="U11" s="30">
        <f t="shared" ref="U11:AB11" si="2">IF(U$6&gt;$H$3,0,1)</f>
        <v>1</v>
      </c>
      <c r="V11" s="30">
        <f t="shared" si="2"/>
        <v>1</v>
      </c>
      <c r="W11" s="30">
        <f t="shared" si="2"/>
        <v>1</v>
      </c>
      <c r="X11" s="30">
        <f t="shared" si="2"/>
        <v>1</v>
      </c>
      <c r="Y11" s="30">
        <f t="shared" si="2"/>
        <v>1</v>
      </c>
      <c r="Z11" s="30">
        <f t="shared" si="2"/>
        <v>1</v>
      </c>
      <c r="AA11" s="30">
        <f t="shared" si="2"/>
        <v>1</v>
      </c>
      <c r="AB11" s="30">
        <f t="shared" si="2"/>
        <v>1</v>
      </c>
      <c r="AC11" s="28" t="s">
        <v>45</v>
      </c>
      <c r="AD11" s="30">
        <f t="shared" ref="AD11:AK11" si="3">IF(AD$6&gt;$H$3,0,1)</f>
        <v>0</v>
      </c>
      <c r="AE11" s="30">
        <f t="shared" si="3"/>
        <v>0</v>
      </c>
      <c r="AF11" s="30">
        <f t="shared" si="3"/>
        <v>0</v>
      </c>
      <c r="AG11" s="30">
        <f t="shared" si="3"/>
        <v>0</v>
      </c>
      <c r="AH11" s="30">
        <f t="shared" si="3"/>
        <v>0</v>
      </c>
      <c r="AI11" s="30">
        <f t="shared" si="3"/>
        <v>0</v>
      </c>
      <c r="AJ11" s="30">
        <f t="shared" si="3"/>
        <v>0</v>
      </c>
      <c r="AK11" s="30">
        <f t="shared" si="3"/>
        <v>0</v>
      </c>
      <c r="AL11" s="26"/>
    </row>
    <row r="12" spans="2:38" ht="12.75" hidden="1" customHeight="1" x14ac:dyDescent="0.3">
      <c r="B12" s="27" t="s">
        <v>49</v>
      </c>
      <c r="C12" s="30">
        <f t="shared" ref="C12:J12" si="4">IF(C11=0,C7,0)</f>
        <v>0</v>
      </c>
      <c r="D12" s="30">
        <f t="shared" si="4"/>
        <v>0</v>
      </c>
      <c r="E12" s="30">
        <f t="shared" si="4"/>
        <v>0</v>
      </c>
      <c r="F12" s="30">
        <f t="shared" si="4"/>
        <v>0</v>
      </c>
      <c r="G12" s="30">
        <f t="shared" si="4"/>
        <v>0</v>
      </c>
      <c r="H12" s="30">
        <f t="shared" si="4"/>
        <v>0</v>
      </c>
      <c r="I12" s="30">
        <f t="shared" si="4"/>
        <v>0</v>
      </c>
      <c r="J12" s="30">
        <f t="shared" si="4"/>
        <v>0</v>
      </c>
      <c r="K12" s="28" t="s">
        <v>45</v>
      </c>
      <c r="L12" s="30">
        <f t="shared" ref="L12:S12" si="5">IF(L11=0,L7,0)</f>
        <v>0</v>
      </c>
      <c r="M12" s="30">
        <f t="shared" si="5"/>
        <v>0</v>
      </c>
      <c r="N12" s="30">
        <f t="shared" si="5"/>
        <v>0</v>
      </c>
      <c r="O12" s="30">
        <f t="shared" si="5"/>
        <v>0</v>
      </c>
      <c r="P12" s="30">
        <f t="shared" si="5"/>
        <v>0</v>
      </c>
      <c r="Q12" s="30">
        <f t="shared" si="5"/>
        <v>0</v>
      </c>
      <c r="R12" s="30">
        <f t="shared" si="5"/>
        <v>0</v>
      </c>
      <c r="S12" s="30">
        <f t="shared" si="5"/>
        <v>0</v>
      </c>
      <c r="T12" s="28" t="s">
        <v>45</v>
      </c>
      <c r="U12" s="30">
        <f t="shared" ref="U12:AB12" si="6">IF(U11=0,U7,0)</f>
        <v>0</v>
      </c>
      <c r="V12" s="30">
        <f t="shared" si="6"/>
        <v>0</v>
      </c>
      <c r="W12" s="30">
        <f t="shared" si="6"/>
        <v>0</v>
      </c>
      <c r="X12" s="30">
        <f t="shared" si="6"/>
        <v>0</v>
      </c>
      <c r="Y12" s="30">
        <f t="shared" si="6"/>
        <v>0</v>
      </c>
      <c r="Z12" s="30">
        <f t="shared" si="6"/>
        <v>0</v>
      </c>
      <c r="AA12" s="30">
        <f t="shared" si="6"/>
        <v>0</v>
      </c>
      <c r="AB12" s="30">
        <f t="shared" si="6"/>
        <v>0</v>
      </c>
      <c r="AC12" s="28" t="s">
        <v>45</v>
      </c>
      <c r="AD12" s="30">
        <f t="shared" ref="AD12:AK12" si="7">IF(AD11=0,AD7,0)</f>
        <v>128</v>
      </c>
      <c r="AE12" s="30">
        <f t="shared" si="7"/>
        <v>64</v>
      </c>
      <c r="AF12" s="30">
        <f t="shared" si="7"/>
        <v>32</v>
      </c>
      <c r="AG12" s="30">
        <f t="shared" si="7"/>
        <v>16</v>
      </c>
      <c r="AH12" s="30">
        <f t="shared" si="7"/>
        <v>8</v>
      </c>
      <c r="AI12" s="30">
        <f t="shared" si="7"/>
        <v>4</v>
      </c>
      <c r="AJ12" s="30">
        <f t="shared" si="7"/>
        <v>2</v>
      </c>
      <c r="AK12" s="30">
        <f t="shared" si="7"/>
        <v>1</v>
      </c>
      <c r="AL12" s="26"/>
    </row>
    <row r="13" spans="2:38" ht="12.75" customHeight="1" x14ac:dyDescent="0.3">
      <c r="B13" s="27" t="s">
        <v>50</v>
      </c>
      <c r="C13" s="86">
        <f>IF($C$10&lt;&gt;"",SUM(C12:J12),"")</f>
        <v>0</v>
      </c>
      <c r="D13" s="86"/>
      <c r="E13" s="86"/>
      <c r="F13" s="86"/>
      <c r="G13" s="86"/>
      <c r="H13" s="86"/>
      <c r="I13" s="86"/>
      <c r="J13" s="86"/>
      <c r="K13" s="28" t="s">
        <v>45</v>
      </c>
      <c r="L13" s="86">
        <f>IF($L$10&lt;&gt;"",SUM(L12:S12),"")</f>
        <v>0</v>
      </c>
      <c r="M13" s="86"/>
      <c r="N13" s="86"/>
      <c r="O13" s="86"/>
      <c r="P13" s="86"/>
      <c r="Q13" s="86"/>
      <c r="R13" s="86"/>
      <c r="S13" s="86"/>
      <c r="T13" s="28" t="s">
        <v>45</v>
      </c>
      <c r="U13" s="86">
        <f>IF($U$10&lt;&gt;"",SUM(U12:AB12),"")</f>
        <v>0</v>
      </c>
      <c r="V13" s="86"/>
      <c r="W13" s="86"/>
      <c r="X13" s="86"/>
      <c r="Y13" s="86"/>
      <c r="Z13" s="86"/>
      <c r="AA13" s="86"/>
      <c r="AB13" s="86"/>
      <c r="AC13" s="28" t="s">
        <v>45</v>
      </c>
      <c r="AD13" s="86">
        <f>IF($AD$10&lt;&gt;"",SUM(AD12:AK12),"")</f>
        <v>255</v>
      </c>
      <c r="AE13" s="86"/>
      <c r="AF13" s="86"/>
      <c r="AG13" s="86"/>
      <c r="AH13" s="86"/>
      <c r="AI13" s="86"/>
      <c r="AJ13" s="86"/>
      <c r="AK13" s="86"/>
      <c r="AL13" s="26"/>
    </row>
    <row r="14" spans="2:38" ht="12.75" customHeight="1" x14ac:dyDescent="0.3">
      <c r="B14" s="22"/>
      <c r="C14" s="31"/>
      <c r="D14" s="31"/>
      <c r="E14" s="31"/>
      <c r="F14" s="31"/>
      <c r="G14" s="31"/>
      <c r="H14" s="31"/>
      <c r="I14" s="31"/>
      <c r="J14" s="31"/>
      <c r="K14" s="32"/>
      <c r="L14" s="24"/>
      <c r="M14" s="24"/>
      <c r="N14" s="24"/>
      <c r="O14" s="24"/>
      <c r="P14" s="24"/>
      <c r="Q14" s="24"/>
      <c r="R14" s="24"/>
      <c r="S14" s="24"/>
      <c r="T14" s="32"/>
      <c r="U14" s="24"/>
      <c r="V14" s="24"/>
      <c r="W14" s="24"/>
      <c r="X14" s="24"/>
      <c r="Y14" s="24"/>
      <c r="Z14" s="24"/>
      <c r="AA14" s="24"/>
      <c r="AB14" s="24"/>
      <c r="AC14" s="32"/>
      <c r="AD14" s="24"/>
      <c r="AE14" s="24"/>
      <c r="AF14" s="24"/>
      <c r="AG14" s="24"/>
      <c r="AH14" s="24"/>
      <c r="AI14" s="24"/>
      <c r="AJ14" s="24"/>
      <c r="AK14" s="24"/>
      <c r="AL14" s="26"/>
    </row>
    <row r="15" spans="2:38" ht="12.75" customHeight="1" x14ac:dyDescent="0.3">
      <c r="B15" s="27" t="s">
        <v>51</v>
      </c>
      <c r="C15" s="84">
        <f>IF($H$3&lt;&gt;"",(VLOOKUP($H$3,host,2)-2),"")</f>
        <v>254</v>
      </c>
      <c r="D15" s="84"/>
      <c r="E15" s="84"/>
      <c r="F15" s="84"/>
      <c r="G15" s="84"/>
      <c r="H15" s="84"/>
      <c r="I15" s="84"/>
      <c r="J15" s="84"/>
      <c r="K15" s="33"/>
      <c r="L15" s="34"/>
      <c r="M15" s="34"/>
      <c r="N15" s="34"/>
      <c r="O15" s="34"/>
      <c r="P15" s="34"/>
      <c r="Q15" s="34"/>
      <c r="R15" s="34"/>
      <c r="S15" s="34"/>
      <c r="T15" s="35"/>
      <c r="U15" s="34"/>
      <c r="V15" s="34"/>
      <c r="W15" s="34"/>
      <c r="X15" s="34"/>
      <c r="Y15" s="34"/>
      <c r="Z15" s="34"/>
      <c r="AA15" s="34"/>
      <c r="AB15" s="34"/>
      <c r="AC15" s="35"/>
      <c r="AD15" s="34"/>
      <c r="AE15" s="34"/>
      <c r="AF15" s="34"/>
      <c r="AG15" s="34"/>
      <c r="AH15" s="34"/>
      <c r="AI15" s="34"/>
      <c r="AJ15" s="34"/>
      <c r="AK15" s="34"/>
      <c r="AL15" s="26"/>
    </row>
    <row r="16" spans="2:38" ht="12.75" hidden="1" customHeight="1" x14ac:dyDescent="0.3">
      <c r="B16" s="27"/>
      <c r="C16" s="36">
        <f t="shared" ref="C16:J16" si="8">IF(AND(C11=1,C9=1),C7,0)</f>
        <v>0</v>
      </c>
      <c r="D16" s="36">
        <f t="shared" si="8"/>
        <v>0</v>
      </c>
      <c r="E16" s="36">
        <f t="shared" si="8"/>
        <v>0</v>
      </c>
      <c r="F16" s="36">
        <f t="shared" si="8"/>
        <v>0</v>
      </c>
      <c r="G16" s="36">
        <f t="shared" si="8"/>
        <v>8</v>
      </c>
      <c r="H16" s="36">
        <f t="shared" si="8"/>
        <v>0</v>
      </c>
      <c r="I16" s="36">
        <f t="shared" si="8"/>
        <v>2</v>
      </c>
      <c r="J16" s="36">
        <f t="shared" si="8"/>
        <v>0</v>
      </c>
      <c r="K16" s="33"/>
      <c r="L16" s="37">
        <f t="shared" ref="L16:S16" si="9">IF(AND(L11=1,L9=1),L7,0)</f>
        <v>0</v>
      </c>
      <c r="M16" s="37">
        <f t="shared" si="9"/>
        <v>0</v>
      </c>
      <c r="N16" s="37">
        <f t="shared" si="9"/>
        <v>0</v>
      </c>
      <c r="O16" s="37">
        <f t="shared" si="9"/>
        <v>0</v>
      </c>
      <c r="P16" s="37">
        <f t="shared" si="9"/>
        <v>8</v>
      </c>
      <c r="Q16" s="37">
        <f t="shared" si="9"/>
        <v>0</v>
      </c>
      <c r="R16" s="37">
        <f t="shared" si="9"/>
        <v>2</v>
      </c>
      <c r="S16" s="37">
        <f t="shared" si="9"/>
        <v>0</v>
      </c>
      <c r="T16" s="35"/>
      <c r="U16" s="36">
        <f t="shared" ref="U16:AB16" si="10">IF(AND(U11=1,U9=1),U7,0)</f>
        <v>0</v>
      </c>
      <c r="V16" s="36">
        <f t="shared" si="10"/>
        <v>0</v>
      </c>
      <c r="W16" s="36">
        <f t="shared" si="10"/>
        <v>0</v>
      </c>
      <c r="X16" s="36">
        <f t="shared" si="10"/>
        <v>0</v>
      </c>
      <c r="Y16" s="36">
        <f t="shared" si="10"/>
        <v>8</v>
      </c>
      <c r="Z16" s="36">
        <f t="shared" si="10"/>
        <v>0</v>
      </c>
      <c r="AA16" s="36">
        <f t="shared" si="10"/>
        <v>2</v>
      </c>
      <c r="AB16" s="36">
        <f t="shared" si="10"/>
        <v>0</v>
      </c>
      <c r="AC16" s="35"/>
      <c r="AD16" s="37">
        <f t="shared" ref="AD16:AK16" si="11">IF(AND(AD11=1,AD9=1),AD7,0)</f>
        <v>0</v>
      </c>
      <c r="AE16" s="37">
        <f t="shared" si="11"/>
        <v>0</v>
      </c>
      <c r="AF16" s="37">
        <f t="shared" si="11"/>
        <v>0</v>
      </c>
      <c r="AG16" s="37">
        <f t="shared" si="11"/>
        <v>0</v>
      </c>
      <c r="AH16" s="37">
        <f t="shared" si="11"/>
        <v>0</v>
      </c>
      <c r="AI16" s="37">
        <f t="shared" si="11"/>
        <v>0</v>
      </c>
      <c r="AJ16" s="37">
        <f t="shared" si="11"/>
        <v>0</v>
      </c>
      <c r="AK16" s="37">
        <f t="shared" si="11"/>
        <v>0</v>
      </c>
      <c r="AL16" s="26"/>
    </row>
    <row r="17" spans="2:42" ht="12.75" customHeight="1" x14ac:dyDescent="0.3">
      <c r="B17" s="38" t="s">
        <v>52</v>
      </c>
      <c r="C17" s="85">
        <f>IF($H$3&lt;&gt;"",SUM(C16:J16),"")</f>
        <v>10</v>
      </c>
      <c r="D17" s="83"/>
      <c r="E17" s="85">
        <f>IF($H$3&lt;&gt;"",SUM(L16:S16),"")</f>
        <v>10</v>
      </c>
      <c r="F17" s="83"/>
      <c r="G17" s="85">
        <f>IF($H$3&lt;&gt;"",SUM(U16:AB16),"")</f>
        <v>10</v>
      </c>
      <c r="H17" s="83"/>
      <c r="I17" s="85">
        <f>IF($H$3&lt;&gt;"",SUM(AD16:AK16)+1,"")</f>
        <v>1</v>
      </c>
      <c r="J17" s="83"/>
      <c r="K17" s="28" t="s">
        <v>14</v>
      </c>
      <c r="L17" s="83">
        <f>IF(C17&lt;&gt;"",IF(C10=255,C8,255-C10+C17),"")</f>
        <v>10</v>
      </c>
      <c r="M17" s="83"/>
      <c r="N17" s="83">
        <f>IF(E17&lt;&gt;"",IF(L10=255,L8,255-L10+E17),"")</f>
        <v>10</v>
      </c>
      <c r="O17" s="83"/>
      <c r="P17" s="83">
        <f>IF(G17&lt;&gt;"",IF(U10=255,U8,255-U10+G17),"")</f>
        <v>10</v>
      </c>
      <c r="Q17" s="83"/>
      <c r="R17" s="83">
        <f>IF(I17&lt;&gt;"",IF(AD10=255,AD8,255-AD10+I17-2),"")</f>
        <v>254</v>
      </c>
      <c r="S17" s="83"/>
      <c r="T17" s="35"/>
      <c r="U17" s="73" t="s">
        <v>53</v>
      </c>
      <c r="V17" s="73"/>
      <c r="W17" s="73"/>
      <c r="X17" s="73"/>
      <c r="Y17" s="73"/>
      <c r="Z17" s="73"/>
      <c r="AA17" s="73"/>
      <c r="AB17" s="73"/>
      <c r="AC17" s="39"/>
      <c r="AD17" s="80">
        <f>IF($C$10&lt;&gt;"",255-$C$10,"")</f>
        <v>0</v>
      </c>
      <c r="AE17" s="81"/>
      <c r="AF17" s="80">
        <f>IF($L$10&lt;&gt;"",255-$L$10,"")</f>
        <v>0</v>
      </c>
      <c r="AG17" s="81"/>
      <c r="AH17" s="80">
        <f>IF($U$10&lt;&gt;"",255-$U$10,"")</f>
        <v>0</v>
      </c>
      <c r="AI17" s="81"/>
      <c r="AJ17" s="80">
        <f>IF($AD$10&lt;&gt;"",255-$AD$10,"")</f>
        <v>255</v>
      </c>
      <c r="AK17" s="81"/>
      <c r="AL17" s="26"/>
    </row>
    <row r="18" spans="2:42" ht="12.75" customHeight="1" x14ac:dyDescent="0.25">
      <c r="B18" s="38" t="s">
        <v>54</v>
      </c>
      <c r="C18" s="82">
        <f>IF(C8&lt;&gt;"",SUM(C16:J16),"")</f>
        <v>10</v>
      </c>
      <c r="D18" s="77"/>
      <c r="E18" s="82">
        <f>IF(L8&lt;&gt;"",SUM(L16:S16),"")</f>
        <v>10</v>
      </c>
      <c r="F18" s="77"/>
      <c r="G18" s="82">
        <f>IF(U8&lt;&gt;"",SUM(U16:AB16),"")</f>
        <v>10</v>
      </c>
      <c r="H18" s="77"/>
      <c r="I18" s="82">
        <f>IF(AD8&lt;&gt;"",SUM(AD16:AK16),"")</f>
        <v>0</v>
      </c>
      <c r="J18" s="77"/>
      <c r="K18" s="40"/>
      <c r="L18" s="39"/>
      <c r="M18" s="39"/>
      <c r="N18" s="39"/>
      <c r="O18" s="39"/>
      <c r="P18" s="39"/>
      <c r="Q18" s="39"/>
      <c r="R18" s="39"/>
      <c r="S18" s="39"/>
      <c r="T18" s="40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26"/>
    </row>
    <row r="19" spans="2:42" ht="12.75" customHeight="1" x14ac:dyDescent="0.3">
      <c r="B19" s="38" t="s">
        <v>55</v>
      </c>
      <c r="C19" s="77">
        <f>L17</f>
        <v>10</v>
      </c>
      <c r="D19" s="77"/>
      <c r="E19" s="77">
        <f>N17</f>
        <v>10</v>
      </c>
      <c r="F19" s="77"/>
      <c r="G19" s="77">
        <f>P17</f>
        <v>10</v>
      </c>
      <c r="H19" s="77"/>
      <c r="I19" s="77">
        <f>IF($R$17&lt;&gt;"",R17+1,"")</f>
        <v>255</v>
      </c>
      <c r="J19" s="77"/>
      <c r="K19" s="40"/>
      <c r="L19" s="39"/>
      <c r="M19" s="39"/>
      <c r="N19" s="39"/>
      <c r="O19" s="39"/>
      <c r="P19" s="39"/>
      <c r="Q19" s="78" t="s">
        <v>48</v>
      </c>
      <c r="R19" s="78"/>
      <c r="S19" s="78"/>
      <c r="T19" s="79"/>
      <c r="U19" s="77">
        <f>IF(H3&lt;&gt;"",COUNTIF(L11:AK11, "1"),"")</f>
        <v>16</v>
      </c>
      <c r="V19" s="77"/>
      <c r="W19" s="78" t="s">
        <v>56</v>
      </c>
      <c r="X19" s="78"/>
      <c r="Y19" s="78"/>
      <c r="Z19" s="77">
        <f>IF(H3&lt;&gt;"",COUNTIF(L11:AK11,"0"),"")</f>
        <v>8</v>
      </c>
      <c r="AA19" s="77"/>
      <c r="AB19" s="72" t="s">
        <v>57</v>
      </c>
      <c r="AC19" s="73"/>
      <c r="AD19" s="73"/>
      <c r="AE19" s="74" t="str">
        <f>IF(C8&lt;&gt;"",IF(C9=0,"Class A",IF(AND(C9=1,D9=0),"Class B",IF(AND(C9=1,D9=1),"Class C",0))),"")</f>
        <v>Class A</v>
      </c>
      <c r="AF19" s="75"/>
      <c r="AG19" s="39"/>
      <c r="AH19" s="39"/>
      <c r="AI19" s="41"/>
      <c r="AJ19" s="41"/>
      <c r="AK19" s="25"/>
      <c r="AL19" s="26"/>
    </row>
    <row r="20" spans="2:42" ht="12.75" customHeight="1" thickBot="1" x14ac:dyDescent="0.3"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4"/>
    </row>
    <row r="21" spans="2:42" ht="13.15" x14ac:dyDescent="0.25">
      <c r="B21" s="45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76" t="s">
        <v>58</v>
      </c>
      <c r="AF21" s="76"/>
      <c r="AG21" s="76"/>
      <c r="AH21" s="76"/>
      <c r="AI21" s="76"/>
      <c r="AJ21" s="76"/>
      <c r="AK21" s="76"/>
      <c r="AL21" s="76"/>
      <c r="AM21" s="46"/>
      <c r="AN21" s="46"/>
      <c r="AO21" s="46"/>
      <c r="AP21" s="46"/>
    </row>
  </sheetData>
  <sheetProtection sheet="1" selectLockedCells="1"/>
  <mergeCells count="46">
    <mergeCell ref="C8:J8"/>
    <mergeCell ref="L8:S8"/>
    <mergeCell ref="U8:AB8"/>
    <mergeCell ref="AD8:AK8"/>
    <mergeCell ref="B2:AL2"/>
    <mergeCell ref="C5:J5"/>
    <mergeCell ref="L5:S5"/>
    <mergeCell ref="U5:AB5"/>
    <mergeCell ref="AD5:AK5"/>
    <mergeCell ref="C10:J10"/>
    <mergeCell ref="L10:S10"/>
    <mergeCell ref="U10:AB10"/>
    <mergeCell ref="AD10:AK10"/>
    <mergeCell ref="C13:J13"/>
    <mergeCell ref="L13:S13"/>
    <mergeCell ref="U13:AB13"/>
    <mergeCell ref="AD13:AK13"/>
    <mergeCell ref="C19:D19"/>
    <mergeCell ref="E19:F19"/>
    <mergeCell ref="C15:J15"/>
    <mergeCell ref="C17:D17"/>
    <mergeCell ref="E17:F17"/>
    <mergeCell ref="G17:H17"/>
    <mergeCell ref="I17:J17"/>
    <mergeCell ref="AH17:AI17"/>
    <mergeCell ref="AJ17:AK17"/>
    <mergeCell ref="C18:D18"/>
    <mergeCell ref="E18:F18"/>
    <mergeCell ref="G18:H18"/>
    <mergeCell ref="I18:J18"/>
    <mergeCell ref="N17:O17"/>
    <mergeCell ref="P17:Q17"/>
    <mergeCell ref="R17:S17"/>
    <mergeCell ref="U17:AB17"/>
    <mergeCell ref="AD17:AE17"/>
    <mergeCell ref="AF17:AG17"/>
    <mergeCell ref="L17:M17"/>
    <mergeCell ref="AB19:AD19"/>
    <mergeCell ref="AE19:AF19"/>
    <mergeCell ref="AE21:AL21"/>
    <mergeCell ref="G19:H19"/>
    <mergeCell ref="I19:J19"/>
    <mergeCell ref="Q19:T19"/>
    <mergeCell ref="W19:Y19"/>
    <mergeCell ref="Z19:AA19"/>
    <mergeCell ref="U19:V19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58"/>
  <sheetViews>
    <sheetView workbookViewId="0">
      <selection activeCell="U26" sqref="U26"/>
    </sheetView>
  </sheetViews>
  <sheetFormatPr defaultColWidth="8.85546875" defaultRowHeight="12.75" x14ac:dyDescent="0.2"/>
  <cols>
    <col min="1" max="1" width="4" style="50" customWidth="1"/>
    <col min="2" max="9" width="4" style="47" customWidth="1"/>
    <col min="10" max="10" width="4" style="59" customWidth="1"/>
    <col min="11" max="17" width="4" style="47" customWidth="1"/>
    <col min="18" max="18" width="4" style="54" customWidth="1"/>
    <col min="19" max="19" width="8.85546875" style="47"/>
    <col min="20" max="20" width="6" style="47" customWidth="1"/>
    <col min="21" max="21" width="12.7109375" style="47" customWidth="1"/>
    <col min="22" max="16384" width="8.85546875" style="47"/>
  </cols>
  <sheetData>
    <row r="1" spans="1:21" ht="13.15" x14ac:dyDescent="0.25">
      <c r="A1" s="90" t="s">
        <v>59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T1" s="90" t="s">
        <v>60</v>
      </c>
      <c r="U1" s="90"/>
    </row>
    <row r="2" spans="1:21" ht="13.15" x14ac:dyDescent="0.25">
      <c r="A2" s="48"/>
      <c r="B2" s="48">
        <v>128</v>
      </c>
      <c r="C2" s="48">
        <v>64</v>
      </c>
      <c r="D2" s="48">
        <v>32</v>
      </c>
      <c r="E2" s="48">
        <v>16</v>
      </c>
      <c r="F2" s="48">
        <v>8</v>
      </c>
      <c r="G2" s="48">
        <v>4</v>
      </c>
      <c r="H2" s="48">
        <v>2</v>
      </c>
      <c r="I2" s="48">
        <v>1</v>
      </c>
      <c r="J2" s="49"/>
      <c r="K2" s="49"/>
      <c r="L2" s="49"/>
      <c r="M2" s="49"/>
      <c r="N2" s="49"/>
      <c r="O2" s="49"/>
      <c r="P2" s="49"/>
      <c r="Q2" s="49"/>
      <c r="R2" s="48"/>
      <c r="T2" s="48" t="s">
        <v>61</v>
      </c>
      <c r="U2" s="48" t="s">
        <v>62</v>
      </c>
    </row>
    <row r="3" spans="1:21" ht="13.15" x14ac:dyDescent="0.25">
      <c r="A3" s="50">
        <v>0</v>
      </c>
      <c r="B3" s="51">
        <v>0</v>
      </c>
      <c r="C3" s="51">
        <v>0</v>
      </c>
      <c r="D3" s="51">
        <v>0</v>
      </c>
      <c r="E3" s="51">
        <v>0</v>
      </c>
      <c r="F3" s="51">
        <v>0</v>
      </c>
      <c r="G3" s="51">
        <v>0</v>
      </c>
      <c r="H3" s="51">
        <v>0</v>
      </c>
      <c r="I3" s="51">
        <v>0</v>
      </c>
      <c r="J3" s="52">
        <v>0</v>
      </c>
      <c r="K3" s="53">
        <v>0</v>
      </c>
      <c r="L3" s="53">
        <v>0</v>
      </c>
      <c r="M3" s="53">
        <v>0</v>
      </c>
      <c r="N3" s="53">
        <v>0</v>
      </c>
      <c r="O3" s="53">
        <v>0</v>
      </c>
      <c r="P3" s="53">
        <v>0</v>
      </c>
      <c r="Q3" s="53">
        <v>0</v>
      </c>
      <c r="R3" s="54">
        <v>0</v>
      </c>
      <c r="T3" s="55">
        <v>1</v>
      </c>
      <c r="U3" s="56">
        <f t="shared" ref="U3:U31" si="0">U4*2</f>
        <v>2147483648</v>
      </c>
    </row>
    <row r="4" spans="1:21" ht="13.15" x14ac:dyDescent="0.25">
      <c r="A4" s="50">
        <v>1</v>
      </c>
      <c r="B4" s="57">
        <v>0</v>
      </c>
      <c r="C4" s="57">
        <v>0</v>
      </c>
      <c r="D4" s="57">
        <v>0</v>
      </c>
      <c r="E4" s="57">
        <v>0</v>
      </c>
      <c r="F4" s="57">
        <v>0</v>
      </c>
      <c r="G4" s="57">
        <v>0</v>
      </c>
      <c r="H4" s="57">
        <v>0</v>
      </c>
      <c r="I4" s="57">
        <v>1</v>
      </c>
      <c r="J4" s="58">
        <f t="shared" ref="J4:Q19" si="1">IF(B4=1,B$2,0)</f>
        <v>0</v>
      </c>
      <c r="K4" s="57">
        <f t="shared" si="1"/>
        <v>0</v>
      </c>
      <c r="L4" s="57">
        <f t="shared" si="1"/>
        <v>0</v>
      </c>
      <c r="M4" s="57">
        <f t="shared" si="1"/>
        <v>0</v>
      </c>
      <c r="N4" s="57">
        <f t="shared" si="1"/>
        <v>0</v>
      </c>
      <c r="O4" s="57">
        <f t="shared" si="1"/>
        <v>0</v>
      </c>
      <c r="P4" s="57">
        <f t="shared" si="1"/>
        <v>0</v>
      </c>
      <c r="Q4" s="57">
        <f t="shared" si="1"/>
        <v>1</v>
      </c>
      <c r="R4" s="54">
        <f t="shared" ref="R4:R67" si="2">SUM(J4:Q4)</f>
        <v>1</v>
      </c>
      <c r="T4" s="55">
        <f t="shared" ref="T4:T34" si="3">T3+1</f>
        <v>2</v>
      </c>
      <c r="U4" s="56">
        <f t="shared" si="0"/>
        <v>1073741824</v>
      </c>
    </row>
    <row r="5" spans="1:21" ht="13.15" x14ac:dyDescent="0.25">
      <c r="A5" s="50">
        <f>A4+1</f>
        <v>2</v>
      </c>
      <c r="B5" s="57">
        <v>0</v>
      </c>
      <c r="C5" s="57">
        <v>0</v>
      </c>
      <c r="D5" s="57">
        <v>0</v>
      </c>
      <c r="E5" s="57">
        <v>0</v>
      </c>
      <c r="F5" s="57">
        <v>0</v>
      </c>
      <c r="G5" s="57">
        <v>0</v>
      </c>
      <c r="H5" s="57">
        <v>1</v>
      </c>
      <c r="I5" s="57">
        <v>0</v>
      </c>
      <c r="J5" s="58">
        <f t="shared" si="1"/>
        <v>0</v>
      </c>
      <c r="K5" s="57">
        <f t="shared" si="1"/>
        <v>0</v>
      </c>
      <c r="L5" s="57">
        <f t="shared" si="1"/>
        <v>0</v>
      </c>
      <c r="M5" s="57">
        <f t="shared" si="1"/>
        <v>0</v>
      </c>
      <c r="N5" s="57">
        <f t="shared" si="1"/>
        <v>0</v>
      </c>
      <c r="O5" s="57">
        <f t="shared" si="1"/>
        <v>0</v>
      </c>
      <c r="P5" s="57">
        <f t="shared" si="1"/>
        <v>2</v>
      </c>
      <c r="Q5" s="57">
        <f t="shared" si="1"/>
        <v>0</v>
      </c>
      <c r="R5" s="54">
        <f t="shared" si="2"/>
        <v>2</v>
      </c>
      <c r="T5" s="55">
        <f t="shared" si="3"/>
        <v>3</v>
      </c>
      <c r="U5" s="56">
        <f t="shared" si="0"/>
        <v>536870912</v>
      </c>
    </row>
    <row r="6" spans="1:21" ht="13.15" x14ac:dyDescent="0.25">
      <c r="A6" s="50">
        <f>A5+1</f>
        <v>3</v>
      </c>
      <c r="B6" s="57">
        <v>0</v>
      </c>
      <c r="C6" s="57">
        <v>0</v>
      </c>
      <c r="D6" s="57">
        <v>0</v>
      </c>
      <c r="E6" s="57">
        <v>0</v>
      </c>
      <c r="F6" s="57">
        <v>0</v>
      </c>
      <c r="G6" s="57">
        <v>0</v>
      </c>
      <c r="H6" s="57">
        <v>1</v>
      </c>
      <c r="I6" s="57">
        <v>1</v>
      </c>
      <c r="J6" s="58">
        <f t="shared" si="1"/>
        <v>0</v>
      </c>
      <c r="K6" s="57">
        <f t="shared" si="1"/>
        <v>0</v>
      </c>
      <c r="L6" s="57">
        <f t="shared" si="1"/>
        <v>0</v>
      </c>
      <c r="M6" s="57">
        <f t="shared" si="1"/>
        <v>0</v>
      </c>
      <c r="N6" s="57">
        <f t="shared" si="1"/>
        <v>0</v>
      </c>
      <c r="O6" s="57">
        <f t="shared" si="1"/>
        <v>0</v>
      </c>
      <c r="P6" s="57">
        <f t="shared" si="1"/>
        <v>2</v>
      </c>
      <c r="Q6" s="57">
        <f t="shared" si="1"/>
        <v>1</v>
      </c>
      <c r="R6" s="54">
        <f t="shared" si="2"/>
        <v>3</v>
      </c>
      <c r="T6" s="55">
        <f t="shared" si="3"/>
        <v>4</v>
      </c>
      <c r="U6" s="56">
        <f t="shared" si="0"/>
        <v>268435456</v>
      </c>
    </row>
    <row r="7" spans="1:21" ht="13.15" x14ac:dyDescent="0.25">
      <c r="A7" s="50">
        <f t="shared" ref="A7:A70" si="4">A6+1</f>
        <v>4</v>
      </c>
      <c r="B7" s="57">
        <v>0</v>
      </c>
      <c r="C7" s="57">
        <v>0</v>
      </c>
      <c r="D7" s="57">
        <v>0</v>
      </c>
      <c r="E7" s="57">
        <v>0</v>
      </c>
      <c r="F7" s="57">
        <v>0</v>
      </c>
      <c r="G7" s="57">
        <v>1</v>
      </c>
      <c r="H7" s="57">
        <v>0</v>
      </c>
      <c r="I7" s="57">
        <v>0</v>
      </c>
      <c r="J7" s="58">
        <f t="shared" si="1"/>
        <v>0</v>
      </c>
      <c r="K7" s="57">
        <f t="shared" si="1"/>
        <v>0</v>
      </c>
      <c r="L7" s="57">
        <f t="shared" si="1"/>
        <v>0</v>
      </c>
      <c r="M7" s="57">
        <f t="shared" si="1"/>
        <v>0</v>
      </c>
      <c r="N7" s="57">
        <f t="shared" si="1"/>
        <v>0</v>
      </c>
      <c r="O7" s="57">
        <f t="shared" si="1"/>
        <v>4</v>
      </c>
      <c r="P7" s="57">
        <f t="shared" si="1"/>
        <v>0</v>
      </c>
      <c r="Q7" s="57">
        <f t="shared" si="1"/>
        <v>0</v>
      </c>
      <c r="R7" s="54">
        <f t="shared" si="2"/>
        <v>4</v>
      </c>
      <c r="T7" s="55">
        <f t="shared" si="3"/>
        <v>5</v>
      </c>
      <c r="U7" s="56">
        <f t="shared" si="0"/>
        <v>134217728</v>
      </c>
    </row>
    <row r="8" spans="1:21" ht="13.15" x14ac:dyDescent="0.25">
      <c r="A8" s="50">
        <f t="shared" si="4"/>
        <v>5</v>
      </c>
      <c r="B8" s="57">
        <v>0</v>
      </c>
      <c r="C8" s="57">
        <v>0</v>
      </c>
      <c r="D8" s="57">
        <v>0</v>
      </c>
      <c r="E8" s="57">
        <v>0</v>
      </c>
      <c r="F8" s="57">
        <v>0</v>
      </c>
      <c r="G8" s="57">
        <v>1</v>
      </c>
      <c r="H8" s="57">
        <v>0</v>
      </c>
      <c r="I8" s="57">
        <v>1</v>
      </c>
      <c r="J8" s="58">
        <f t="shared" si="1"/>
        <v>0</v>
      </c>
      <c r="K8" s="57">
        <f t="shared" si="1"/>
        <v>0</v>
      </c>
      <c r="L8" s="57">
        <f t="shared" si="1"/>
        <v>0</v>
      </c>
      <c r="M8" s="57">
        <f t="shared" si="1"/>
        <v>0</v>
      </c>
      <c r="N8" s="57">
        <f t="shared" si="1"/>
        <v>0</v>
      </c>
      <c r="O8" s="57">
        <f t="shared" si="1"/>
        <v>4</v>
      </c>
      <c r="P8" s="57">
        <f t="shared" si="1"/>
        <v>0</v>
      </c>
      <c r="Q8" s="57">
        <f t="shared" si="1"/>
        <v>1</v>
      </c>
      <c r="R8" s="54">
        <f t="shared" si="2"/>
        <v>5</v>
      </c>
      <c r="T8" s="55">
        <f t="shared" si="3"/>
        <v>6</v>
      </c>
      <c r="U8" s="56">
        <f t="shared" si="0"/>
        <v>67108864</v>
      </c>
    </row>
    <row r="9" spans="1:21" ht="13.15" x14ac:dyDescent="0.25">
      <c r="A9" s="50">
        <f t="shared" si="4"/>
        <v>6</v>
      </c>
      <c r="B9" s="57">
        <v>0</v>
      </c>
      <c r="C9" s="57">
        <v>0</v>
      </c>
      <c r="D9" s="57">
        <v>0</v>
      </c>
      <c r="E9" s="57">
        <v>0</v>
      </c>
      <c r="F9" s="57">
        <v>0</v>
      </c>
      <c r="G9" s="57">
        <v>1</v>
      </c>
      <c r="H9" s="57">
        <v>1</v>
      </c>
      <c r="I9" s="57">
        <v>0</v>
      </c>
      <c r="J9" s="58">
        <f t="shared" si="1"/>
        <v>0</v>
      </c>
      <c r="K9" s="57">
        <f t="shared" si="1"/>
        <v>0</v>
      </c>
      <c r="L9" s="57">
        <f t="shared" si="1"/>
        <v>0</v>
      </c>
      <c r="M9" s="57">
        <f t="shared" si="1"/>
        <v>0</v>
      </c>
      <c r="N9" s="57">
        <f t="shared" si="1"/>
        <v>0</v>
      </c>
      <c r="O9" s="57">
        <f t="shared" si="1"/>
        <v>4</v>
      </c>
      <c r="P9" s="57">
        <f t="shared" si="1"/>
        <v>2</v>
      </c>
      <c r="Q9" s="57">
        <f t="shared" si="1"/>
        <v>0</v>
      </c>
      <c r="R9" s="54">
        <f t="shared" si="2"/>
        <v>6</v>
      </c>
      <c r="T9" s="55">
        <f t="shared" si="3"/>
        <v>7</v>
      </c>
      <c r="U9" s="56">
        <f t="shared" si="0"/>
        <v>33554432</v>
      </c>
    </row>
    <row r="10" spans="1:21" ht="13.15" x14ac:dyDescent="0.25">
      <c r="A10" s="50">
        <f t="shared" si="4"/>
        <v>7</v>
      </c>
      <c r="B10" s="57">
        <v>0</v>
      </c>
      <c r="C10" s="57">
        <v>0</v>
      </c>
      <c r="D10" s="57">
        <v>0</v>
      </c>
      <c r="E10" s="57">
        <v>0</v>
      </c>
      <c r="F10" s="57">
        <v>0</v>
      </c>
      <c r="G10" s="57">
        <v>1</v>
      </c>
      <c r="H10" s="57">
        <v>1</v>
      </c>
      <c r="I10" s="57">
        <v>1</v>
      </c>
      <c r="J10" s="58">
        <f t="shared" si="1"/>
        <v>0</v>
      </c>
      <c r="K10" s="57">
        <f t="shared" si="1"/>
        <v>0</v>
      </c>
      <c r="L10" s="57">
        <f t="shared" si="1"/>
        <v>0</v>
      </c>
      <c r="M10" s="57">
        <f t="shared" si="1"/>
        <v>0</v>
      </c>
      <c r="N10" s="57">
        <f t="shared" si="1"/>
        <v>0</v>
      </c>
      <c r="O10" s="57">
        <f t="shared" si="1"/>
        <v>4</v>
      </c>
      <c r="P10" s="57">
        <f t="shared" si="1"/>
        <v>2</v>
      </c>
      <c r="Q10" s="57">
        <f t="shared" si="1"/>
        <v>1</v>
      </c>
      <c r="R10" s="54">
        <f t="shared" si="2"/>
        <v>7</v>
      </c>
      <c r="T10" s="55">
        <f t="shared" si="3"/>
        <v>8</v>
      </c>
      <c r="U10" s="56">
        <f t="shared" si="0"/>
        <v>16777216</v>
      </c>
    </row>
    <row r="11" spans="1:21" ht="13.15" x14ac:dyDescent="0.25">
      <c r="A11" s="50">
        <f t="shared" si="4"/>
        <v>8</v>
      </c>
      <c r="B11" s="57">
        <v>0</v>
      </c>
      <c r="C11" s="57">
        <v>0</v>
      </c>
      <c r="D11" s="57">
        <v>0</v>
      </c>
      <c r="E11" s="57">
        <v>0</v>
      </c>
      <c r="F11" s="57">
        <v>1</v>
      </c>
      <c r="G11" s="57">
        <v>0</v>
      </c>
      <c r="H11" s="57">
        <v>0</v>
      </c>
      <c r="I11" s="57">
        <v>0</v>
      </c>
      <c r="J11" s="58">
        <f t="shared" si="1"/>
        <v>0</v>
      </c>
      <c r="K11" s="57">
        <f t="shared" si="1"/>
        <v>0</v>
      </c>
      <c r="L11" s="57">
        <f t="shared" si="1"/>
        <v>0</v>
      </c>
      <c r="M11" s="57">
        <f t="shared" si="1"/>
        <v>0</v>
      </c>
      <c r="N11" s="57">
        <f t="shared" si="1"/>
        <v>8</v>
      </c>
      <c r="O11" s="57">
        <f t="shared" si="1"/>
        <v>0</v>
      </c>
      <c r="P11" s="57">
        <f t="shared" si="1"/>
        <v>0</v>
      </c>
      <c r="Q11" s="57">
        <f t="shared" si="1"/>
        <v>0</v>
      </c>
      <c r="R11" s="54">
        <f t="shared" si="2"/>
        <v>8</v>
      </c>
      <c r="T11" s="55">
        <f t="shared" si="3"/>
        <v>9</v>
      </c>
      <c r="U11" s="56">
        <f t="shared" si="0"/>
        <v>8388608</v>
      </c>
    </row>
    <row r="12" spans="1:21" ht="13.15" x14ac:dyDescent="0.25">
      <c r="A12" s="50">
        <f t="shared" si="4"/>
        <v>9</v>
      </c>
      <c r="B12" s="57">
        <v>0</v>
      </c>
      <c r="C12" s="57">
        <v>0</v>
      </c>
      <c r="D12" s="57">
        <v>0</v>
      </c>
      <c r="E12" s="57">
        <v>0</v>
      </c>
      <c r="F12" s="57">
        <v>1</v>
      </c>
      <c r="G12" s="57">
        <v>0</v>
      </c>
      <c r="H12" s="57">
        <v>0</v>
      </c>
      <c r="I12" s="57">
        <v>1</v>
      </c>
      <c r="J12" s="58">
        <f t="shared" si="1"/>
        <v>0</v>
      </c>
      <c r="K12" s="57">
        <f t="shared" si="1"/>
        <v>0</v>
      </c>
      <c r="L12" s="57">
        <f t="shared" si="1"/>
        <v>0</v>
      </c>
      <c r="M12" s="57">
        <f t="shared" si="1"/>
        <v>0</v>
      </c>
      <c r="N12" s="57">
        <f t="shared" si="1"/>
        <v>8</v>
      </c>
      <c r="O12" s="57">
        <f t="shared" si="1"/>
        <v>0</v>
      </c>
      <c r="P12" s="57">
        <f t="shared" si="1"/>
        <v>0</v>
      </c>
      <c r="Q12" s="57">
        <f t="shared" si="1"/>
        <v>1</v>
      </c>
      <c r="R12" s="54">
        <f t="shared" si="2"/>
        <v>9</v>
      </c>
      <c r="T12" s="55">
        <f t="shared" si="3"/>
        <v>10</v>
      </c>
      <c r="U12" s="56">
        <f t="shared" si="0"/>
        <v>4194304</v>
      </c>
    </row>
    <row r="13" spans="1:21" ht="13.15" x14ac:dyDescent="0.25">
      <c r="A13" s="50">
        <f t="shared" si="4"/>
        <v>10</v>
      </c>
      <c r="B13" s="57">
        <v>0</v>
      </c>
      <c r="C13" s="57">
        <v>0</v>
      </c>
      <c r="D13" s="57">
        <v>0</v>
      </c>
      <c r="E13" s="57">
        <v>0</v>
      </c>
      <c r="F13" s="57">
        <v>1</v>
      </c>
      <c r="G13" s="57">
        <v>0</v>
      </c>
      <c r="H13" s="57">
        <v>1</v>
      </c>
      <c r="I13" s="57">
        <v>0</v>
      </c>
      <c r="J13" s="58">
        <f t="shared" si="1"/>
        <v>0</v>
      </c>
      <c r="K13" s="57">
        <f t="shared" si="1"/>
        <v>0</v>
      </c>
      <c r="L13" s="57">
        <f t="shared" si="1"/>
        <v>0</v>
      </c>
      <c r="M13" s="57">
        <f t="shared" si="1"/>
        <v>0</v>
      </c>
      <c r="N13" s="57">
        <f t="shared" si="1"/>
        <v>8</v>
      </c>
      <c r="O13" s="57">
        <f t="shared" si="1"/>
        <v>0</v>
      </c>
      <c r="P13" s="57">
        <f t="shared" si="1"/>
        <v>2</v>
      </c>
      <c r="Q13" s="57">
        <f t="shared" si="1"/>
        <v>0</v>
      </c>
      <c r="R13" s="54">
        <f t="shared" si="2"/>
        <v>10</v>
      </c>
      <c r="T13" s="55">
        <f t="shared" si="3"/>
        <v>11</v>
      </c>
      <c r="U13" s="56">
        <f t="shared" si="0"/>
        <v>2097152</v>
      </c>
    </row>
    <row r="14" spans="1:21" ht="13.15" x14ac:dyDescent="0.25">
      <c r="A14" s="50">
        <f t="shared" si="4"/>
        <v>11</v>
      </c>
      <c r="B14" s="57">
        <v>0</v>
      </c>
      <c r="C14" s="57">
        <v>0</v>
      </c>
      <c r="D14" s="57">
        <v>0</v>
      </c>
      <c r="E14" s="57">
        <v>0</v>
      </c>
      <c r="F14" s="57">
        <v>1</v>
      </c>
      <c r="G14" s="57">
        <v>0</v>
      </c>
      <c r="H14" s="57">
        <v>1</v>
      </c>
      <c r="I14" s="57">
        <v>1</v>
      </c>
      <c r="J14" s="58">
        <f t="shared" si="1"/>
        <v>0</v>
      </c>
      <c r="K14" s="57">
        <f t="shared" si="1"/>
        <v>0</v>
      </c>
      <c r="L14" s="57">
        <f t="shared" si="1"/>
        <v>0</v>
      </c>
      <c r="M14" s="57">
        <f t="shared" si="1"/>
        <v>0</v>
      </c>
      <c r="N14" s="57">
        <f t="shared" si="1"/>
        <v>8</v>
      </c>
      <c r="O14" s="57">
        <f t="shared" si="1"/>
        <v>0</v>
      </c>
      <c r="P14" s="57">
        <f t="shared" si="1"/>
        <v>2</v>
      </c>
      <c r="Q14" s="57">
        <f t="shared" si="1"/>
        <v>1</v>
      </c>
      <c r="R14" s="54">
        <f t="shared" si="2"/>
        <v>11</v>
      </c>
      <c r="T14" s="55">
        <f t="shared" si="3"/>
        <v>12</v>
      </c>
      <c r="U14" s="56">
        <f t="shared" si="0"/>
        <v>1048576</v>
      </c>
    </row>
    <row r="15" spans="1:21" ht="13.15" x14ac:dyDescent="0.25">
      <c r="A15" s="50">
        <f t="shared" si="4"/>
        <v>12</v>
      </c>
      <c r="B15" s="57">
        <v>0</v>
      </c>
      <c r="C15" s="57">
        <v>0</v>
      </c>
      <c r="D15" s="57">
        <v>0</v>
      </c>
      <c r="E15" s="57">
        <v>0</v>
      </c>
      <c r="F15" s="57">
        <v>1</v>
      </c>
      <c r="G15" s="57">
        <v>1</v>
      </c>
      <c r="H15" s="57">
        <v>0</v>
      </c>
      <c r="I15" s="57">
        <v>0</v>
      </c>
      <c r="J15" s="58">
        <f t="shared" si="1"/>
        <v>0</v>
      </c>
      <c r="K15" s="57">
        <f t="shared" si="1"/>
        <v>0</v>
      </c>
      <c r="L15" s="57">
        <f t="shared" si="1"/>
        <v>0</v>
      </c>
      <c r="M15" s="57">
        <f t="shared" si="1"/>
        <v>0</v>
      </c>
      <c r="N15" s="57">
        <f t="shared" si="1"/>
        <v>8</v>
      </c>
      <c r="O15" s="57">
        <f t="shared" si="1"/>
        <v>4</v>
      </c>
      <c r="P15" s="57">
        <f t="shared" si="1"/>
        <v>0</v>
      </c>
      <c r="Q15" s="57">
        <f t="shared" si="1"/>
        <v>0</v>
      </c>
      <c r="R15" s="54">
        <f t="shared" si="2"/>
        <v>12</v>
      </c>
      <c r="T15" s="55">
        <f t="shared" si="3"/>
        <v>13</v>
      </c>
      <c r="U15" s="56">
        <f t="shared" si="0"/>
        <v>524288</v>
      </c>
    </row>
    <row r="16" spans="1:21" ht="13.15" x14ac:dyDescent="0.25">
      <c r="A16" s="50">
        <f t="shared" si="4"/>
        <v>13</v>
      </c>
      <c r="B16" s="57">
        <v>0</v>
      </c>
      <c r="C16" s="57">
        <v>0</v>
      </c>
      <c r="D16" s="57">
        <v>0</v>
      </c>
      <c r="E16" s="57">
        <v>0</v>
      </c>
      <c r="F16" s="57">
        <v>1</v>
      </c>
      <c r="G16" s="57">
        <v>1</v>
      </c>
      <c r="H16" s="57">
        <v>0</v>
      </c>
      <c r="I16" s="57">
        <v>1</v>
      </c>
      <c r="J16" s="58">
        <f t="shared" si="1"/>
        <v>0</v>
      </c>
      <c r="K16" s="57">
        <f t="shared" si="1"/>
        <v>0</v>
      </c>
      <c r="L16" s="57">
        <f t="shared" si="1"/>
        <v>0</v>
      </c>
      <c r="M16" s="57">
        <f t="shared" si="1"/>
        <v>0</v>
      </c>
      <c r="N16" s="57">
        <f t="shared" si="1"/>
        <v>8</v>
      </c>
      <c r="O16" s="57">
        <f t="shared" si="1"/>
        <v>4</v>
      </c>
      <c r="P16" s="57">
        <f t="shared" si="1"/>
        <v>0</v>
      </c>
      <c r="Q16" s="57">
        <f t="shared" si="1"/>
        <v>1</v>
      </c>
      <c r="R16" s="54">
        <f t="shared" si="2"/>
        <v>13</v>
      </c>
      <c r="T16" s="55">
        <f t="shared" si="3"/>
        <v>14</v>
      </c>
      <c r="U16" s="56">
        <f t="shared" si="0"/>
        <v>262144</v>
      </c>
    </row>
    <row r="17" spans="1:21" ht="13.15" x14ac:dyDescent="0.25">
      <c r="A17" s="50">
        <f t="shared" si="4"/>
        <v>14</v>
      </c>
      <c r="B17" s="57">
        <v>0</v>
      </c>
      <c r="C17" s="57">
        <v>0</v>
      </c>
      <c r="D17" s="57">
        <v>0</v>
      </c>
      <c r="E17" s="57">
        <v>0</v>
      </c>
      <c r="F17" s="57">
        <v>1</v>
      </c>
      <c r="G17" s="57">
        <v>1</v>
      </c>
      <c r="H17" s="57">
        <v>1</v>
      </c>
      <c r="I17" s="57">
        <v>0</v>
      </c>
      <c r="J17" s="58">
        <f t="shared" si="1"/>
        <v>0</v>
      </c>
      <c r="K17" s="57">
        <f t="shared" si="1"/>
        <v>0</v>
      </c>
      <c r="L17" s="57">
        <f t="shared" si="1"/>
        <v>0</v>
      </c>
      <c r="M17" s="57">
        <f t="shared" si="1"/>
        <v>0</v>
      </c>
      <c r="N17" s="57">
        <f t="shared" si="1"/>
        <v>8</v>
      </c>
      <c r="O17" s="57">
        <f t="shared" si="1"/>
        <v>4</v>
      </c>
      <c r="P17" s="57">
        <f t="shared" si="1"/>
        <v>2</v>
      </c>
      <c r="Q17" s="57">
        <f t="shared" si="1"/>
        <v>0</v>
      </c>
      <c r="R17" s="54">
        <f t="shared" si="2"/>
        <v>14</v>
      </c>
      <c r="T17" s="55">
        <f t="shared" si="3"/>
        <v>15</v>
      </c>
      <c r="U17" s="56">
        <f t="shared" si="0"/>
        <v>131072</v>
      </c>
    </row>
    <row r="18" spans="1:21" ht="13.15" x14ac:dyDescent="0.25">
      <c r="A18" s="50">
        <f t="shared" si="4"/>
        <v>15</v>
      </c>
      <c r="B18" s="57">
        <v>0</v>
      </c>
      <c r="C18" s="57">
        <v>0</v>
      </c>
      <c r="D18" s="57">
        <v>0</v>
      </c>
      <c r="E18" s="57">
        <v>0</v>
      </c>
      <c r="F18" s="57">
        <v>1</v>
      </c>
      <c r="G18" s="57">
        <v>1</v>
      </c>
      <c r="H18" s="57">
        <v>1</v>
      </c>
      <c r="I18" s="57">
        <v>1</v>
      </c>
      <c r="J18" s="58">
        <f t="shared" si="1"/>
        <v>0</v>
      </c>
      <c r="K18" s="57">
        <f t="shared" si="1"/>
        <v>0</v>
      </c>
      <c r="L18" s="57">
        <f t="shared" si="1"/>
        <v>0</v>
      </c>
      <c r="M18" s="57">
        <f t="shared" si="1"/>
        <v>0</v>
      </c>
      <c r="N18" s="57">
        <f t="shared" si="1"/>
        <v>8</v>
      </c>
      <c r="O18" s="57">
        <f t="shared" si="1"/>
        <v>4</v>
      </c>
      <c r="P18" s="57">
        <f t="shared" si="1"/>
        <v>2</v>
      </c>
      <c r="Q18" s="57">
        <f t="shared" si="1"/>
        <v>1</v>
      </c>
      <c r="R18" s="54">
        <f t="shared" si="2"/>
        <v>15</v>
      </c>
      <c r="T18" s="55">
        <f t="shared" si="3"/>
        <v>16</v>
      </c>
      <c r="U18" s="56">
        <f t="shared" si="0"/>
        <v>65536</v>
      </c>
    </row>
    <row r="19" spans="1:21" ht="13.15" x14ac:dyDescent="0.25">
      <c r="A19" s="50">
        <f t="shared" si="4"/>
        <v>16</v>
      </c>
      <c r="B19" s="57">
        <v>0</v>
      </c>
      <c r="C19" s="57">
        <v>0</v>
      </c>
      <c r="D19" s="57">
        <v>0</v>
      </c>
      <c r="E19" s="57">
        <v>1</v>
      </c>
      <c r="F19" s="57">
        <v>0</v>
      </c>
      <c r="G19" s="57">
        <v>0</v>
      </c>
      <c r="H19" s="57">
        <v>0</v>
      </c>
      <c r="I19" s="57">
        <v>0</v>
      </c>
      <c r="J19" s="58">
        <f t="shared" si="1"/>
        <v>0</v>
      </c>
      <c r="K19" s="57">
        <f t="shared" si="1"/>
        <v>0</v>
      </c>
      <c r="L19" s="57">
        <f t="shared" si="1"/>
        <v>0</v>
      </c>
      <c r="M19" s="57">
        <f t="shared" si="1"/>
        <v>16</v>
      </c>
      <c r="N19" s="57">
        <f t="shared" si="1"/>
        <v>0</v>
      </c>
      <c r="O19" s="57">
        <f t="shared" si="1"/>
        <v>0</v>
      </c>
      <c r="P19" s="57">
        <f t="shared" si="1"/>
        <v>0</v>
      </c>
      <c r="Q19" s="57">
        <f t="shared" si="1"/>
        <v>0</v>
      </c>
      <c r="R19" s="54">
        <f t="shared" si="2"/>
        <v>16</v>
      </c>
      <c r="T19" s="55">
        <f t="shared" si="3"/>
        <v>17</v>
      </c>
      <c r="U19" s="56">
        <f t="shared" si="0"/>
        <v>32768</v>
      </c>
    </row>
    <row r="20" spans="1:21" ht="13.15" x14ac:dyDescent="0.25">
      <c r="A20" s="50">
        <f t="shared" si="4"/>
        <v>17</v>
      </c>
      <c r="B20" s="57">
        <v>0</v>
      </c>
      <c r="C20" s="57">
        <v>0</v>
      </c>
      <c r="D20" s="57">
        <v>0</v>
      </c>
      <c r="E20" s="57">
        <v>1</v>
      </c>
      <c r="F20" s="57">
        <v>0</v>
      </c>
      <c r="G20" s="57">
        <v>0</v>
      </c>
      <c r="H20" s="57">
        <v>0</v>
      </c>
      <c r="I20" s="57">
        <v>1</v>
      </c>
      <c r="J20" s="58">
        <f t="shared" ref="J20:Q51" si="5">IF(B20=1,B$2,0)</f>
        <v>0</v>
      </c>
      <c r="K20" s="57">
        <f t="shared" si="5"/>
        <v>0</v>
      </c>
      <c r="L20" s="57">
        <f t="shared" si="5"/>
        <v>0</v>
      </c>
      <c r="M20" s="57">
        <f t="shared" si="5"/>
        <v>16</v>
      </c>
      <c r="N20" s="57">
        <f t="shared" si="5"/>
        <v>0</v>
      </c>
      <c r="O20" s="57">
        <f t="shared" si="5"/>
        <v>0</v>
      </c>
      <c r="P20" s="57">
        <f t="shared" si="5"/>
        <v>0</v>
      </c>
      <c r="Q20" s="57">
        <f t="shared" si="5"/>
        <v>1</v>
      </c>
      <c r="R20" s="54">
        <f t="shared" si="2"/>
        <v>17</v>
      </c>
      <c r="T20" s="55">
        <f t="shared" si="3"/>
        <v>18</v>
      </c>
      <c r="U20" s="56">
        <f t="shared" si="0"/>
        <v>16384</v>
      </c>
    </row>
    <row r="21" spans="1:21" ht="13.15" x14ac:dyDescent="0.25">
      <c r="A21" s="50">
        <f t="shared" si="4"/>
        <v>18</v>
      </c>
      <c r="B21" s="57">
        <v>0</v>
      </c>
      <c r="C21" s="57">
        <v>0</v>
      </c>
      <c r="D21" s="57">
        <v>0</v>
      </c>
      <c r="E21" s="57">
        <v>1</v>
      </c>
      <c r="F21" s="57">
        <v>0</v>
      </c>
      <c r="G21" s="57">
        <v>0</v>
      </c>
      <c r="H21" s="57">
        <v>1</v>
      </c>
      <c r="I21" s="57">
        <v>0</v>
      </c>
      <c r="J21" s="58">
        <f t="shared" si="5"/>
        <v>0</v>
      </c>
      <c r="K21" s="57">
        <f t="shared" si="5"/>
        <v>0</v>
      </c>
      <c r="L21" s="57">
        <f t="shared" si="5"/>
        <v>0</v>
      </c>
      <c r="M21" s="57">
        <f t="shared" si="5"/>
        <v>16</v>
      </c>
      <c r="N21" s="57">
        <f t="shared" si="5"/>
        <v>0</v>
      </c>
      <c r="O21" s="57">
        <f t="shared" si="5"/>
        <v>0</v>
      </c>
      <c r="P21" s="57">
        <f t="shared" si="5"/>
        <v>2</v>
      </c>
      <c r="Q21" s="57">
        <f t="shared" si="5"/>
        <v>0</v>
      </c>
      <c r="R21" s="54">
        <f t="shared" si="2"/>
        <v>18</v>
      </c>
      <c r="T21" s="55">
        <f t="shared" si="3"/>
        <v>19</v>
      </c>
      <c r="U21" s="56">
        <f t="shared" si="0"/>
        <v>8192</v>
      </c>
    </row>
    <row r="22" spans="1:21" ht="13.15" x14ac:dyDescent="0.25">
      <c r="A22" s="50">
        <f t="shared" si="4"/>
        <v>19</v>
      </c>
      <c r="B22" s="57">
        <v>0</v>
      </c>
      <c r="C22" s="57">
        <v>0</v>
      </c>
      <c r="D22" s="57">
        <v>0</v>
      </c>
      <c r="E22" s="57">
        <v>1</v>
      </c>
      <c r="F22" s="57">
        <v>0</v>
      </c>
      <c r="G22" s="57">
        <v>0</v>
      </c>
      <c r="H22" s="57">
        <v>1</v>
      </c>
      <c r="I22" s="57">
        <v>1</v>
      </c>
      <c r="J22" s="58">
        <f t="shared" si="5"/>
        <v>0</v>
      </c>
      <c r="K22" s="57">
        <f t="shared" si="5"/>
        <v>0</v>
      </c>
      <c r="L22" s="57">
        <f t="shared" si="5"/>
        <v>0</v>
      </c>
      <c r="M22" s="57">
        <f t="shared" si="5"/>
        <v>16</v>
      </c>
      <c r="N22" s="57">
        <f t="shared" si="5"/>
        <v>0</v>
      </c>
      <c r="O22" s="57">
        <f t="shared" si="5"/>
        <v>0</v>
      </c>
      <c r="P22" s="57">
        <f t="shared" si="5"/>
        <v>2</v>
      </c>
      <c r="Q22" s="57">
        <f t="shared" si="5"/>
        <v>1</v>
      </c>
      <c r="R22" s="54">
        <f t="shared" si="2"/>
        <v>19</v>
      </c>
      <c r="T22" s="55">
        <f t="shared" si="3"/>
        <v>20</v>
      </c>
      <c r="U22" s="56">
        <f t="shared" si="0"/>
        <v>4096</v>
      </c>
    </row>
    <row r="23" spans="1:21" ht="13.15" x14ac:dyDescent="0.25">
      <c r="A23" s="50">
        <f t="shared" si="4"/>
        <v>20</v>
      </c>
      <c r="B23" s="57">
        <v>0</v>
      </c>
      <c r="C23" s="57">
        <v>0</v>
      </c>
      <c r="D23" s="57">
        <v>0</v>
      </c>
      <c r="E23" s="57">
        <v>1</v>
      </c>
      <c r="F23" s="57">
        <v>0</v>
      </c>
      <c r="G23" s="57">
        <v>1</v>
      </c>
      <c r="H23" s="57">
        <v>0</v>
      </c>
      <c r="I23" s="57">
        <v>0</v>
      </c>
      <c r="J23" s="58">
        <f t="shared" si="5"/>
        <v>0</v>
      </c>
      <c r="K23" s="57">
        <f t="shared" si="5"/>
        <v>0</v>
      </c>
      <c r="L23" s="57">
        <f t="shared" si="5"/>
        <v>0</v>
      </c>
      <c r="M23" s="57">
        <f t="shared" si="5"/>
        <v>16</v>
      </c>
      <c r="N23" s="57">
        <f t="shared" si="5"/>
        <v>0</v>
      </c>
      <c r="O23" s="57">
        <f t="shared" si="5"/>
        <v>4</v>
      </c>
      <c r="P23" s="57">
        <f t="shared" si="5"/>
        <v>0</v>
      </c>
      <c r="Q23" s="57">
        <f t="shared" si="5"/>
        <v>0</v>
      </c>
      <c r="R23" s="54">
        <f t="shared" si="2"/>
        <v>20</v>
      </c>
      <c r="T23" s="55">
        <f t="shared" si="3"/>
        <v>21</v>
      </c>
      <c r="U23" s="56">
        <f t="shared" si="0"/>
        <v>2048</v>
      </c>
    </row>
    <row r="24" spans="1:21" ht="13.15" x14ac:dyDescent="0.25">
      <c r="A24" s="50">
        <f t="shared" si="4"/>
        <v>21</v>
      </c>
      <c r="B24" s="57">
        <v>0</v>
      </c>
      <c r="C24" s="57">
        <v>0</v>
      </c>
      <c r="D24" s="57">
        <v>0</v>
      </c>
      <c r="E24" s="57">
        <v>1</v>
      </c>
      <c r="F24" s="57">
        <v>0</v>
      </c>
      <c r="G24" s="57">
        <v>1</v>
      </c>
      <c r="H24" s="57">
        <v>0</v>
      </c>
      <c r="I24" s="57">
        <v>1</v>
      </c>
      <c r="J24" s="58">
        <f t="shared" si="5"/>
        <v>0</v>
      </c>
      <c r="K24" s="57">
        <f t="shared" si="5"/>
        <v>0</v>
      </c>
      <c r="L24" s="57">
        <f t="shared" si="5"/>
        <v>0</v>
      </c>
      <c r="M24" s="57">
        <f t="shared" si="5"/>
        <v>16</v>
      </c>
      <c r="N24" s="57">
        <f t="shared" si="5"/>
        <v>0</v>
      </c>
      <c r="O24" s="57">
        <f t="shared" si="5"/>
        <v>4</v>
      </c>
      <c r="P24" s="57">
        <f t="shared" si="5"/>
        <v>0</v>
      </c>
      <c r="Q24" s="57">
        <f t="shared" si="5"/>
        <v>1</v>
      </c>
      <c r="R24" s="54">
        <f t="shared" si="2"/>
        <v>21</v>
      </c>
      <c r="T24" s="55">
        <f t="shared" si="3"/>
        <v>22</v>
      </c>
      <c r="U24" s="56">
        <f t="shared" si="0"/>
        <v>1024</v>
      </c>
    </row>
    <row r="25" spans="1:21" ht="13.15" x14ac:dyDescent="0.25">
      <c r="A25" s="50">
        <f t="shared" si="4"/>
        <v>22</v>
      </c>
      <c r="B25" s="57">
        <v>0</v>
      </c>
      <c r="C25" s="57">
        <v>0</v>
      </c>
      <c r="D25" s="57">
        <v>0</v>
      </c>
      <c r="E25" s="57">
        <v>1</v>
      </c>
      <c r="F25" s="57">
        <v>0</v>
      </c>
      <c r="G25" s="57">
        <v>1</v>
      </c>
      <c r="H25" s="57">
        <v>1</v>
      </c>
      <c r="I25" s="57">
        <v>0</v>
      </c>
      <c r="J25" s="58">
        <f t="shared" si="5"/>
        <v>0</v>
      </c>
      <c r="K25" s="57">
        <f t="shared" si="5"/>
        <v>0</v>
      </c>
      <c r="L25" s="57">
        <f t="shared" si="5"/>
        <v>0</v>
      </c>
      <c r="M25" s="57">
        <f t="shared" si="5"/>
        <v>16</v>
      </c>
      <c r="N25" s="57">
        <f t="shared" si="5"/>
        <v>0</v>
      </c>
      <c r="O25" s="57">
        <f t="shared" si="5"/>
        <v>4</v>
      </c>
      <c r="P25" s="57">
        <f t="shared" si="5"/>
        <v>2</v>
      </c>
      <c r="Q25" s="57">
        <f t="shared" si="5"/>
        <v>0</v>
      </c>
      <c r="R25" s="54">
        <f t="shared" si="2"/>
        <v>22</v>
      </c>
      <c r="T25" s="55">
        <f t="shared" si="3"/>
        <v>23</v>
      </c>
      <c r="U25" s="56">
        <f t="shared" si="0"/>
        <v>512</v>
      </c>
    </row>
    <row r="26" spans="1:21" ht="13.15" x14ac:dyDescent="0.25">
      <c r="A26" s="50">
        <f t="shared" si="4"/>
        <v>23</v>
      </c>
      <c r="B26" s="57">
        <v>0</v>
      </c>
      <c r="C26" s="57">
        <v>0</v>
      </c>
      <c r="D26" s="57">
        <v>0</v>
      </c>
      <c r="E26" s="57">
        <v>1</v>
      </c>
      <c r="F26" s="57">
        <v>0</v>
      </c>
      <c r="G26" s="57">
        <v>1</v>
      </c>
      <c r="H26" s="57">
        <v>1</v>
      </c>
      <c r="I26" s="57">
        <v>1</v>
      </c>
      <c r="J26" s="58">
        <f t="shared" si="5"/>
        <v>0</v>
      </c>
      <c r="K26" s="57">
        <f t="shared" si="5"/>
        <v>0</v>
      </c>
      <c r="L26" s="57">
        <f t="shared" si="5"/>
        <v>0</v>
      </c>
      <c r="M26" s="57">
        <f t="shared" si="5"/>
        <v>16</v>
      </c>
      <c r="N26" s="57">
        <f t="shared" si="5"/>
        <v>0</v>
      </c>
      <c r="O26" s="57">
        <f t="shared" si="5"/>
        <v>4</v>
      </c>
      <c r="P26" s="57">
        <f t="shared" si="5"/>
        <v>2</v>
      </c>
      <c r="Q26" s="57">
        <f t="shared" si="5"/>
        <v>1</v>
      </c>
      <c r="R26" s="54">
        <f t="shared" si="2"/>
        <v>23</v>
      </c>
      <c r="T26" s="55">
        <f t="shared" si="3"/>
        <v>24</v>
      </c>
      <c r="U26" s="56">
        <f t="shared" si="0"/>
        <v>256</v>
      </c>
    </row>
    <row r="27" spans="1:21" ht="13.15" x14ac:dyDescent="0.25">
      <c r="A27" s="50">
        <f t="shared" si="4"/>
        <v>24</v>
      </c>
      <c r="B27" s="57">
        <v>0</v>
      </c>
      <c r="C27" s="57">
        <v>0</v>
      </c>
      <c r="D27" s="57">
        <v>0</v>
      </c>
      <c r="E27" s="57">
        <v>1</v>
      </c>
      <c r="F27" s="57">
        <v>1</v>
      </c>
      <c r="G27" s="57">
        <v>0</v>
      </c>
      <c r="H27" s="57">
        <v>0</v>
      </c>
      <c r="I27" s="57">
        <v>0</v>
      </c>
      <c r="J27" s="58">
        <f t="shared" si="5"/>
        <v>0</v>
      </c>
      <c r="K27" s="57">
        <f t="shared" si="5"/>
        <v>0</v>
      </c>
      <c r="L27" s="57">
        <f t="shared" si="5"/>
        <v>0</v>
      </c>
      <c r="M27" s="57">
        <f t="shared" si="5"/>
        <v>16</v>
      </c>
      <c r="N27" s="57">
        <f t="shared" si="5"/>
        <v>8</v>
      </c>
      <c r="O27" s="57">
        <f t="shared" si="5"/>
        <v>0</v>
      </c>
      <c r="P27" s="57">
        <f t="shared" si="5"/>
        <v>0</v>
      </c>
      <c r="Q27" s="57">
        <f t="shared" si="5"/>
        <v>0</v>
      </c>
      <c r="R27" s="54">
        <f t="shared" si="2"/>
        <v>24</v>
      </c>
      <c r="T27" s="55">
        <f t="shared" si="3"/>
        <v>25</v>
      </c>
      <c r="U27" s="56">
        <f t="shared" si="0"/>
        <v>128</v>
      </c>
    </row>
    <row r="28" spans="1:21" ht="13.15" x14ac:dyDescent="0.25">
      <c r="A28" s="50">
        <f t="shared" si="4"/>
        <v>25</v>
      </c>
      <c r="B28" s="57">
        <v>0</v>
      </c>
      <c r="C28" s="57">
        <v>0</v>
      </c>
      <c r="D28" s="57">
        <v>0</v>
      </c>
      <c r="E28" s="57">
        <v>1</v>
      </c>
      <c r="F28" s="57">
        <v>1</v>
      </c>
      <c r="G28" s="57">
        <v>0</v>
      </c>
      <c r="H28" s="57">
        <v>0</v>
      </c>
      <c r="I28" s="57">
        <v>1</v>
      </c>
      <c r="J28" s="58">
        <f t="shared" si="5"/>
        <v>0</v>
      </c>
      <c r="K28" s="57">
        <f t="shared" si="5"/>
        <v>0</v>
      </c>
      <c r="L28" s="57">
        <f t="shared" si="5"/>
        <v>0</v>
      </c>
      <c r="M28" s="57">
        <f t="shared" si="5"/>
        <v>16</v>
      </c>
      <c r="N28" s="57">
        <f t="shared" si="5"/>
        <v>8</v>
      </c>
      <c r="O28" s="57">
        <f t="shared" si="5"/>
        <v>0</v>
      </c>
      <c r="P28" s="57">
        <f t="shared" si="5"/>
        <v>0</v>
      </c>
      <c r="Q28" s="57">
        <f t="shared" si="5"/>
        <v>1</v>
      </c>
      <c r="R28" s="54">
        <f t="shared" si="2"/>
        <v>25</v>
      </c>
      <c r="T28" s="55">
        <f t="shared" si="3"/>
        <v>26</v>
      </c>
      <c r="U28" s="56">
        <f t="shared" si="0"/>
        <v>64</v>
      </c>
    </row>
    <row r="29" spans="1:21" ht="13.15" x14ac:dyDescent="0.25">
      <c r="A29" s="50">
        <f t="shared" si="4"/>
        <v>26</v>
      </c>
      <c r="B29" s="51">
        <v>0</v>
      </c>
      <c r="C29" s="57">
        <v>0</v>
      </c>
      <c r="D29" s="57">
        <v>0</v>
      </c>
      <c r="E29" s="57">
        <v>1</v>
      </c>
      <c r="F29" s="57">
        <v>1</v>
      </c>
      <c r="G29" s="57">
        <v>0</v>
      </c>
      <c r="H29" s="57">
        <v>1</v>
      </c>
      <c r="I29" s="57">
        <v>0</v>
      </c>
      <c r="J29" s="58">
        <f t="shared" si="5"/>
        <v>0</v>
      </c>
      <c r="K29" s="57">
        <f t="shared" si="5"/>
        <v>0</v>
      </c>
      <c r="L29" s="57">
        <f t="shared" si="5"/>
        <v>0</v>
      </c>
      <c r="M29" s="57">
        <f t="shared" si="5"/>
        <v>16</v>
      </c>
      <c r="N29" s="57">
        <f t="shared" si="5"/>
        <v>8</v>
      </c>
      <c r="O29" s="57">
        <f t="shared" si="5"/>
        <v>0</v>
      </c>
      <c r="P29" s="57">
        <f t="shared" si="5"/>
        <v>2</v>
      </c>
      <c r="Q29" s="57">
        <f t="shared" si="5"/>
        <v>0</v>
      </c>
      <c r="R29" s="54">
        <f t="shared" si="2"/>
        <v>26</v>
      </c>
      <c r="T29" s="55">
        <f t="shared" si="3"/>
        <v>27</v>
      </c>
      <c r="U29" s="56">
        <f t="shared" si="0"/>
        <v>32</v>
      </c>
    </row>
    <row r="30" spans="1:21" ht="13.15" x14ac:dyDescent="0.25">
      <c r="A30" s="50">
        <f t="shared" si="4"/>
        <v>27</v>
      </c>
      <c r="B30" s="57">
        <v>0</v>
      </c>
      <c r="C30" s="57">
        <v>0</v>
      </c>
      <c r="D30" s="57">
        <v>0</v>
      </c>
      <c r="E30" s="57">
        <v>1</v>
      </c>
      <c r="F30" s="57">
        <v>1</v>
      </c>
      <c r="G30" s="57">
        <v>0</v>
      </c>
      <c r="H30" s="57">
        <v>1</v>
      </c>
      <c r="I30" s="57">
        <v>1</v>
      </c>
      <c r="J30" s="58">
        <f t="shared" si="5"/>
        <v>0</v>
      </c>
      <c r="K30" s="57">
        <f t="shared" si="5"/>
        <v>0</v>
      </c>
      <c r="L30" s="57">
        <f t="shared" si="5"/>
        <v>0</v>
      </c>
      <c r="M30" s="57">
        <f t="shared" si="5"/>
        <v>16</v>
      </c>
      <c r="N30" s="57">
        <f t="shared" si="5"/>
        <v>8</v>
      </c>
      <c r="O30" s="57">
        <f t="shared" si="5"/>
        <v>0</v>
      </c>
      <c r="P30" s="57">
        <f t="shared" si="5"/>
        <v>2</v>
      </c>
      <c r="Q30" s="57">
        <f t="shared" si="5"/>
        <v>1</v>
      </c>
      <c r="R30" s="54">
        <f t="shared" si="2"/>
        <v>27</v>
      </c>
      <c r="T30" s="55">
        <f t="shared" si="3"/>
        <v>28</v>
      </c>
      <c r="U30" s="56">
        <f t="shared" si="0"/>
        <v>16</v>
      </c>
    </row>
    <row r="31" spans="1:21" ht="13.15" x14ac:dyDescent="0.25">
      <c r="A31" s="50">
        <f t="shared" si="4"/>
        <v>28</v>
      </c>
      <c r="B31" s="57">
        <v>0</v>
      </c>
      <c r="C31" s="57">
        <v>0</v>
      </c>
      <c r="D31" s="57">
        <v>0</v>
      </c>
      <c r="E31" s="57">
        <v>1</v>
      </c>
      <c r="F31" s="57">
        <v>1</v>
      </c>
      <c r="G31" s="57">
        <v>1</v>
      </c>
      <c r="H31" s="57">
        <v>0</v>
      </c>
      <c r="I31" s="57">
        <v>0</v>
      </c>
      <c r="J31" s="58">
        <f t="shared" si="5"/>
        <v>0</v>
      </c>
      <c r="K31" s="57">
        <f t="shared" si="5"/>
        <v>0</v>
      </c>
      <c r="L31" s="57">
        <f t="shared" si="5"/>
        <v>0</v>
      </c>
      <c r="M31" s="57">
        <f t="shared" si="5"/>
        <v>16</v>
      </c>
      <c r="N31" s="57">
        <f t="shared" si="5"/>
        <v>8</v>
      </c>
      <c r="O31" s="57">
        <f t="shared" si="5"/>
        <v>4</v>
      </c>
      <c r="P31" s="57">
        <f t="shared" si="5"/>
        <v>0</v>
      </c>
      <c r="Q31" s="57">
        <f t="shared" si="5"/>
        <v>0</v>
      </c>
      <c r="R31" s="54">
        <f t="shared" si="2"/>
        <v>28</v>
      </c>
      <c r="T31" s="55">
        <f t="shared" si="3"/>
        <v>29</v>
      </c>
      <c r="U31" s="56">
        <f t="shared" si="0"/>
        <v>8</v>
      </c>
    </row>
    <row r="32" spans="1:21" ht="13.15" x14ac:dyDescent="0.25">
      <c r="A32" s="50">
        <f t="shared" si="4"/>
        <v>29</v>
      </c>
      <c r="B32" s="57">
        <v>0</v>
      </c>
      <c r="C32" s="57">
        <v>0</v>
      </c>
      <c r="D32" s="57">
        <v>0</v>
      </c>
      <c r="E32" s="57">
        <v>1</v>
      </c>
      <c r="F32" s="57">
        <v>1</v>
      </c>
      <c r="G32" s="57">
        <v>1</v>
      </c>
      <c r="H32" s="57">
        <v>0</v>
      </c>
      <c r="I32" s="57">
        <v>1</v>
      </c>
      <c r="J32" s="58">
        <f t="shared" si="5"/>
        <v>0</v>
      </c>
      <c r="K32" s="57">
        <f t="shared" si="5"/>
        <v>0</v>
      </c>
      <c r="L32" s="57">
        <f t="shared" si="5"/>
        <v>0</v>
      </c>
      <c r="M32" s="57">
        <f t="shared" si="5"/>
        <v>16</v>
      </c>
      <c r="N32" s="57">
        <f t="shared" si="5"/>
        <v>8</v>
      </c>
      <c r="O32" s="57">
        <f t="shared" si="5"/>
        <v>4</v>
      </c>
      <c r="P32" s="57">
        <f t="shared" si="5"/>
        <v>0</v>
      </c>
      <c r="Q32" s="57">
        <f t="shared" si="5"/>
        <v>1</v>
      </c>
      <c r="R32" s="54">
        <f t="shared" si="2"/>
        <v>29</v>
      </c>
      <c r="T32" s="55">
        <f t="shared" si="3"/>
        <v>30</v>
      </c>
      <c r="U32" s="56">
        <v>4</v>
      </c>
    </row>
    <row r="33" spans="1:21" ht="13.15" x14ac:dyDescent="0.25">
      <c r="A33" s="50">
        <f t="shared" si="4"/>
        <v>30</v>
      </c>
      <c r="B33" s="57">
        <v>0</v>
      </c>
      <c r="C33" s="57">
        <v>0</v>
      </c>
      <c r="D33" s="57">
        <v>0</v>
      </c>
      <c r="E33" s="57">
        <v>1</v>
      </c>
      <c r="F33" s="57">
        <v>1</v>
      </c>
      <c r="G33" s="57">
        <v>1</v>
      </c>
      <c r="H33" s="57">
        <v>1</v>
      </c>
      <c r="I33" s="57">
        <v>0</v>
      </c>
      <c r="J33" s="58">
        <f t="shared" si="5"/>
        <v>0</v>
      </c>
      <c r="K33" s="57">
        <f t="shared" si="5"/>
        <v>0</v>
      </c>
      <c r="L33" s="57">
        <f t="shared" si="5"/>
        <v>0</v>
      </c>
      <c r="M33" s="57">
        <f t="shared" si="5"/>
        <v>16</v>
      </c>
      <c r="N33" s="57">
        <f t="shared" si="5"/>
        <v>8</v>
      </c>
      <c r="O33" s="57">
        <f t="shared" si="5"/>
        <v>4</v>
      </c>
      <c r="P33" s="57">
        <f t="shared" si="5"/>
        <v>2</v>
      </c>
      <c r="Q33" s="57">
        <f t="shared" si="5"/>
        <v>0</v>
      </c>
      <c r="R33" s="54">
        <f t="shared" si="2"/>
        <v>30</v>
      </c>
      <c r="T33" s="55">
        <f t="shared" si="3"/>
        <v>31</v>
      </c>
      <c r="U33" s="56">
        <v>2</v>
      </c>
    </row>
    <row r="34" spans="1:21" ht="13.15" x14ac:dyDescent="0.25">
      <c r="A34" s="50">
        <f t="shared" si="4"/>
        <v>31</v>
      </c>
      <c r="B34" s="57">
        <v>0</v>
      </c>
      <c r="C34" s="57">
        <v>0</v>
      </c>
      <c r="D34" s="57">
        <v>0</v>
      </c>
      <c r="E34" s="57">
        <v>1</v>
      </c>
      <c r="F34" s="57">
        <v>1</v>
      </c>
      <c r="G34" s="57">
        <v>1</v>
      </c>
      <c r="H34" s="57">
        <v>1</v>
      </c>
      <c r="I34" s="57">
        <v>1</v>
      </c>
      <c r="J34" s="58">
        <f t="shared" si="5"/>
        <v>0</v>
      </c>
      <c r="K34" s="57">
        <f t="shared" si="5"/>
        <v>0</v>
      </c>
      <c r="L34" s="57">
        <f t="shared" si="5"/>
        <v>0</v>
      </c>
      <c r="M34" s="57">
        <f t="shared" si="5"/>
        <v>16</v>
      </c>
      <c r="N34" s="57">
        <f t="shared" si="5"/>
        <v>8</v>
      </c>
      <c r="O34" s="57">
        <f t="shared" si="5"/>
        <v>4</v>
      </c>
      <c r="P34" s="57">
        <f t="shared" si="5"/>
        <v>2</v>
      </c>
      <c r="Q34" s="57">
        <f t="shared" si="5"/>
        <v>1</v>
      </c>
      <c r="R34" s="54">
        <f t="shared" si="2"/>
        <v>31</v>
      </c>
      <c r="T34" s="55">
        <f t="shared" si="3"/>
        <v>32</v>
      </c>
      <c r="U34" s="56">
        <v>2</v>
      </c>
    </row>
    <row r="35" spans="1:21" ht="13.15" x14ac:dyDescent="0.25">
      <c r="A35" s="50">
        <f t="shared" si="4"/>
        <v>32</v>
      </c>
      <c r="B35" s="57">
        <v>0</v>
      </c>
      <c r="C35" s="57">
        <v>0</v>
      </c>
      <c r="D35" s="57">
        <v>1</v>
      </c>
      <c r="E35" s="57">
        <v>0</v>
      </c>
      <c r="F35" s="57">
        <v>0</v>
      </c>
      <c r="G35" s="57">
        <v>0</v>
      </c>
      <c r="H35" s="57">
        <v>0</v>
      </c>
      <c r="I35" s="57">
        <v>0</v>
      </c>
      <c r="J35" s="58">
        <f t="shared" si="5"/>
        <v>0</v>
      </c>
      <c r="K35" s="57">
        <f t="shared" si="5"/>
        <v>0</v>
      </c>
      <c r="L35" s="57">
        <f t="shared" si="5"/>
        <v>32</v>
      </c>
      <c r="M35" s="57">
        <f t="shared" si="5"/>
        <v>0</v>
      </c>
      <c r="N35" s="57">
        <f t="shared" si="5"/>
        <v>0</v>
      </c>
      <c r="O35" s="57">
        <f t="shared" si="5"/>
        <v>0</v>
      </c>
      <c r="P35" s="57">
        <f t="shared" si="5"/>
        <v>0</v>
      </c>
      <c r="Q35" s="57">
        <f t="shared" si="5"/>
        <v>0</v>
      </c>
      <c r="R35" s="54">
        <f t="shared" si="2"/>
        <v>32</v>
      </c>
    </row>
    <row r="36" spans="1:21" ht="13.15" x14ac:dyDescent="0.25">
      <c r="A36" s="50">
        <f t="shared" si="4"/>
        <v>33</v>
      </c>
      <c r="B36" s="57">
        <v>0</v>
      </c>
      <c r="C36" s="57">
        <v>0</v>
      </c>
      <c r="D36" s="57">
        <v>1</v>
      </c>
      <c r="E36" s="57">
        <v>0</v>
      </c>
      <c r="F36" s="57">
        <v>0</v>
      </c>
      <c r="G36" s="57">
        <v>0</v>
      </c>
      <c r="H36" s="57">
        <v>0</v>
      </c>
      <c r="I36" s="57">
        <v>1</v>
      </c>
      <c r="J36" s="58">
        <f t="shared" si="5"/>
        <v>0</v>
      </c>
      <c r="K36" s="57">
        <f t="shared" si="5"/>
        <v>0</v>
      </c>
      <c r="L36" s="57">
        <f t="shared" si="5"/>
        <v>32</v>
      </c>
      <c r="M36" s="57">
        <f t="shared" si="5"/>
        <v>0</v>
      </c>
      <c r="N36" s="57">
        <f t="shared" si="5"/>
        <v>0</v>
      </c>
      <c r="O36" s="57">
        <f t="shared" si="5"/>
        <v>0</v>
      </c>
      <c r="P36" s="57">
        <f t="shared" si="5"/>
        <v>0</v>
      </c>
      <c r="Q36" s="57">
        <f t="shared" si="5"/>
        <v>1</v>
      </c>
      <c r="R36" s="54">
        <f t="shared" si="2"/>
        <v>33</v>
      </c>
    </row>
    <row r="37" spans="1:21" ht="13.15" x14ac:dyDescent="0.25">
      <c r="A37" s="50">
        <f t="shared" si="4"/>
        <v>34</v>
      </c>
      <c r="B37" s="57">
        <v>0</v>
      </c>
      <c r="C37" s="57">
        <v>0</v>
      </c>
      <c r="D37" s="57">
        <v>1</v>
      </c>
      <c r="E37" s="57">
        <v>0</v>
      </c>
      <c r="F37" s="57">
        <v>0</v>
      </c>
      <c r="G37" s="57">
        <v>0</v>
      </c>
      <c r="H37" s="57">
        <v>1</v>
      </c>
      <c r="I37" s="57">
        <v>0</v>
      </c>
      <c r="J37" s="58">
        <f t="shared" si="5"/>
        <v>0</v>
      </c>
      <c r="K37" s="57">
        <f t="shared" si="5"/>
        <v>0</v>
      </c>
      <c r="L37" s="57">
        <f t="shared" si="5"/>
        <v>32</v>
      </c>
      <c r="M37" s="57">
        <f t="shared" si="5"/>
        <v>0</v>
      </c>
      <c r="N37" s="57">
        <f t="shared" si="5"/>
        <v>0</v>
      </c>
      <c r="O37" s="57">
        <f t="shared" si="5"/>
        <v>0</v>
      </c>
      <c r="P37" s="57">
        <f t="shared" si="5"/>
        <v>2</v>
      </c>
      <c r="Q37" s="57">
        <f t="shared" si="5"/>
        <v>0</v>
      </c>
      <c r="R37" s="54">
        <f t="shared" si="2"/>
        <v>34</v>
      </c>
    </row>
    <row r="38" spans="1:21" ht="13.15" x14ac:dyDescent="0.25">
      <c r="A38" s="50">
        <f t="shared" si="4"/>
        <v>35</v>
      </c>
      <c r="B38" s="57">
        <v>0</v>
      </c>
      <c r="C38" s="57">
        <v>0</v>
      </c>
      <c r="D38" s="57">
        <v>1</v>
      </c>
      <c r="E38" s="57">
        <v>0</v>
      </c>
      <c r="F38" s="57">
        <v>0</v>
      </c>
      <c r="G38" s="57">
        <v>0</v>
      </c>
      <c r="H38" s="57">
        <v>1</v>
      </c>
      <c r="I38" s="57">
        <v>1</v>
      </c>
      <c r="J38" s="58">
        <f t="shared" si="5"/>
        <v>0</v>
      </c>
      <c r="K38" s="57">
        <f t="shared" si="5"/>
        <v>0</v>
      </c>
      <c r="L38" s="57">
        <f t="shared" si="5"/>
        <v>32</v>
      </c>
      <c r="M38" s="57">
        <f t="shared" si="5"/>
        <v>0</v>
      </c>
      <c r="N38" s="57">
        <f t="shared" si="5"/>
        <v>0</v>
      </c>
      <c r="O38" s="57">
        <f t="shared" si="5"/>
        <v>0</v>
      </c>
      <c r="P38" s="57">
        <f t="shared" si="5"/>
        <v>2</v>
      </c>
      <c r="Q38" s="57">
        <f t="shared" si="5"/>
        <v>1</v>
      </c>
      <c r="R38" s="54">
        <f t="shared" si="2"/>
        <v>35</v>
      </c>
    </row>
    <row r="39" spans="1:21" ht="13.15" x14ac:dyDescent="0.25">
      <c r="A39" s="50">
        <f t="shared" si="4"/>
        <v>36</v>
      </c>
      <c r="B39" s="57">
        <v>0</v>
      </c>
      <c r="C39" s="57">
        <v>0</v>
      </c>
      <c r="D39" s="57">
        <v>1</v>
      </c>
      <c r="E39" s="57">
        <v>0</v>
      </c>
      <c r="F39" s="57">
        <v>0</v>
      </c>
      <c r="G39" s="57">
        <v>1</v>
      </c>
      <c r="H39" s="57">
        <v>0</v>
      </c>
      <c r="I39" s="57">
        <v>0</v>
      </c>
      <c r="J39" s="58">
        <f t="shared" si="5"/>
        <v>0</v>
      </c>
      <c r="K39" s="57">
        <f t="shared" si="5"/>
        <v>0</v>
      </c>
      <c r="L39" s="57">
        <f t="shared" si="5"/>
        <v>32</v>
      </c>
      <c r="M39" s="57">
        <f t="shared" si="5"/>
        <v>0</v>
      </c>
      <c r="N39" s="57">
        <f t="shared" si="5"/>
        <v>0</v>
      </c>
      <c r="O39" s="57">
        <f t="shared" si="5"/>
        <v>4</v>
      </c>
      <c r="P39" s="57">
        <f t="shared" si="5"/>
        <v>0</v>
      </c>
      <c r="Q39" s="57">
        <f t="shared" si="5"/>
        <v>0</v>
      </c>
      <c r="R39" s="54">
        <f t="shared" si="2"/>
        <v>36</v>
      </c>
    </row>
    <row r="40" spans="1:21" ht="13.15" x14ac:dyDescent="0.25">
      <c r="A40" s="50">
        <f t="shared" si="4"/>
        <v>37</v>
      </c>
      <c r="B40" s="57">
        <v>0</v>
      </c>
      <c r="C40" s="57">
        <v>0</v>
      </c>
      <c r="D40" s="57">
        <v>1</v>
      </c>
      <c r="E40" s="57">
        <v>0</v>
      </c>
      <c r="F40" s="57">
        <v>0</v>
      </c>
      <c r="G40" s="57">
        <v>1</v>
      </c>
      <c r="H40" s="57">
        <v>0</v>
      </c>
      <c r="I40" s="57">
        <v>1</v>
      </c>
      <c r="J40" s="58">
        <f t="shared" si="5"/>
        <v>0</v>
      </c>
      <c r="K40" s="57">
        <f t="shared" si="5"/>
        <v>0</v>
      </c>
      <c r="L40" s="57">
        <f t="shared" si="5"/>
        <v>32</v>
      </c>
      <c r="M40" s="57">
        <f t="shared" si="5"/>
        <v>0</v>
      </c>
      <c r="N40" s="57">
        <f t="shared" si="5"/>
        <v>0</v>
      </c>
      <c r="O40" s="57">
        <f t="shared" si="5"/>
        <v>4</v>
      </c>
      <c r="P40" s="57">
        <f t="shared" si="5"/>
        <v>0</v>
      </c>
      <c r="Q40" s="57">
        <f t="shared" si="5"/>
        <v>1</v>
      </c>
      <c r="R40" s="54">
        <f t="shared" si="2"/>
        <v>37</v>
      </c>
    </row>
    <row r="41" spans="1:21" ht="13.15" x14ac:dyDescent="0.25">
      <c r="A41" s="50">
        <f t="shared" si="4"/>
        <v>38</v>
      </c>
      <c r="B41" s="57">
        <v>0</v>
      </c>
      <c r="C41" s="57">
        <v>0</v>
      </c>
      <c r="D41" s="57">
        <v>1</v>
      </c>
      <c r="E41" s="57">
        <v>0</v>
      </c>
      <c r="F41" s="57">
        <v>0</v>
      </c>
      <c r="G41" s="57">
        <v>1</v>
      </c>
      <c r="H41" s="57">
        <v>1</v>
      </c>
      <c r="I41" s="57">
        <v>0</v>
      </c>
      <c r="J41" s="58">
        <f t="shared" si="5"/>
        <v>0</v>
      </c>
      <c r="K41" s="57">
        <f t="shared" si="5"/>
        <v>0</v>
      </c>
      <c r="L41" s="57">
        <f t="shared" si="5"/>
        <v>32</v>
      </c>
      <c r="M41" s="57">
        <f t="shared" si="5"/>
        <v>0</v>
      </c>
      <c r="N41" s="57">
        <f t="shared" si="5"/>
        <v>0</v>
      </c>
      <c r="O41" s="57">
        <f t="shared" si="5"/>
        <v>4</v>
      </c>
      <c r="P41" s="57">
        <f t="shared" si="5"/>
        <v>2</v>
      </c>
      <c r="Q41" s="57">
        <f t="shared" si="5"/>
        <v>0</v>
      </c>
      <c r="R41" s="54">
        <f t="shared" si="2"/>
        <v>38</v>
      </c>
    </row>
    <row r="42" spans="1:21" ht="13.15" x14ac:dyDescent="0.25">
      <c r="A42" s="50">
        <f t="shared" si="4"/>
        <v>39</v>
      </c>
      <c r="B42" s="57">
        <v>0</v>
      </c>
      <c r="C42" s="57">
        <v>0</v>
      </c>
      <c r="D42" s="57">
        <v>1</v>
      </c>
      <c r="E42" s="57">
        <v>0</v>
      </c>
      <c r="F42" s="57">
        <v>0</v>
      </c>
      <c r="G42" s="57">
        <v>1</v>
      </c>
      <c r="H42" s="57">
        <v>1</v>
      </c>
      <c r="I42" s="57">
        <v>1</v>
      </c>
      <c r="J42" s="58">
        <f t="shared" si="5"/>
        <v>0</v>
      </c>
      <c r="K42" s="57">
        <f t="shared" si="5"/>
        <v>0</v>
      </c>
      <c r="L42" s="57">
        <f t="shared" si="5"/>
        <v>32</v>
      </c>
      <c r="M42" s="57">
        <f t="shared" si="5"/>
        <v>0</v>
      </c>
      <c r="N42" s="57">
        <f t="shared" si="5"/>
        <v>0</v>
      </c>
      <c r="O42" s="57">
        <f t="shared" si="5"/>
        <v>4</v>
      </c>
      <c r="P42" s="57">
        <f t="shared" si="5"/>
        <v>2</v>
      </c>
      <c r="Q42" s="57">
        <f t="shared" si="5"/>
        <v>1</v>
      </c>
      <c r="R42" s="54">
        <f t="shared" si="2"/>
        <v>39</v>
      </c>
    </row>
    <row r="43" spans="1:21" ht="13.15" x14ac:dyDescent="0.25">
      <c r="A43" s="50">
        <f t="shared" si="4"/>
        <v>40</v>
      </c>
      <c r="B43" s="57">
        <v>0</v>
      </c>
      <c r="C43" s="57">
        <v>0</v>
      </c>
      <c r="D43" s="57">
        <v>1</v>
      </c>
      <c r="E43" s="57">
        <v>0</v>
      </c>
      <c r="F43" s="57">
        <v>1</v>
      </c>
      <c r="G43" s="57">
        <v>0</v>
      </c>
      <c r="H43" s="57">
        <v>0</v>
      </c>
      <c r="I43" s="57">
        <v>0</v>
      </c>
      <c r="J43" s="58">
        <f t="shared" si="5"/>
        <v>0</v>
      </c>
      <c r="K43" s="57">
        <f t="shared" si="5"/>
        <v>0</v>
      </c>
      <c r="L43" s="57">
        <f t="shared" si="5"/>
        <v>32</v>
      </c>
      <c r="M43" s="57">
        <f t="shared" si="5"/>
        <v>0</v>
      </c>
      <c r="N43" s="57">
        <f t="shared" si="5"/>
        <v>8</v>
      </c>
      <c r="O43" s="57">
        <f t="shared" si="5"/>
        <v>0</v>
      </c>
      <c r="P43" s="57">
        <f t="shared" si="5"/>
        <v>0</v>
      </c>
      <c r="Q43" s="57">
        <f t="shared" si="5"/>
        <v>0</v>
      </c>
      <c r="R43" s="54">
        <f t="shared" si="2"/>
        <v>40</v>
      </c>
    </row>
    <row r="44" spans="1:21" ht="13.15" x14ac:dyDescent="0.25">
      <c r="A44" s="50">
        <f t="shared" si="4"/>
        <v>41</v>
      </c>
      <c r="B44" s="57">
        <v>0</v>
      </c>
      <c r="C44" s="57">
        <v>0</v>
      </c>
      <c r="D44" s="57">
        <v>1</v>
      </c>
      <c r="E44" s="57">
        <v>0</v>
      </c>
      <c r="F44" s="57">
        <v>1</v>
      </c>
      <c r="G44" s="57">
        <v>0</v>
      </c>
      <c r="H44" s="57">
        <v>0</v>
      </c>
      <c r="I44" s="57">
        <v>1</v>
      </c>
      <c r="J44" s="58">
        <f t="shared" si="5"/>
        <v>0</v>
      </c>
      <c r="K44" s="57">
        <f t="shared" si="5"/>
        <v>0</v>
      </c>
      <c r="L44" s="57">
        <f t="shared" si="5"/>
        <v>32</v>
      </c>
      <c r="M44" s="57">
        <f t="shared" si="5"/>
        <v>0</v>
      </c>
      <c r="N44" s="57">
        <f t="shared" si="5"/>
        <v>8</v>
      </c>
      <c r="O44" s="57">
        <f t="shared" si="5"/>
        <v>0</v>
      </c>
      <c r="P44" s="57">
        <f t="shared" si="5"/>
        <v>0</v>
      </c>
      <c r="Q44" s="57">
        <f t="shared" si="5"/>
        <v>1</v>
      </c>
      <c r="R44" s="54">
        <f t="shared" si="2"/>
        <v>41</v>
      </c>
    </row>
    <row r="45" spans="1:21" ht="13.15" x14ac:dyDescent="0.25">
      <c r="A45" s="50">
        <f t="shared" si="4"/>
        <v>42</v>
      </c>
      <c r="B45" s="57">
        <v>0</v>
      </c>
      <c r="C45" s="57">
        <v>0</v>
      </c>
      <c r="D45" s="57">
        <v>1</v>
      </c>
      <c r="E45" s="57">
        <v>0</v>
      </c>
      <c r="F45" s="57">
        <v>1</v>
      </c>
      <c r="G45" s="57">
        <v>0</v>
      </c>
      <c r="H45" s="57">
        <v>1</v>
      </c>
      <c r="I45" s="57">
        <v>0</v>
      </c>
      <c r="J45" s="58">
        <f t="shared" si="5"/>
        <v>0</v>
      </c>
      <c r="K45" s="57">
        <f t="shared" si="5"/>
        <v>0</v>
      </c>
      <c r="L45" s="57">
        <f t="shared" si="5"/>
        <v>32</v>
      </c>
      <c r="M45" s="57">
        <f t="shared" si="5"/>
        <v>0</v>
      </c>
      <c r="N45" s="57">
        <f t="shared" si="5"/>
        <v>8</v>
      </c>
      <c r="O45" s="57">
        <f t="shared" si="5"/>
        <v>0</v>
      </c>
      <c r="P45" s="57">
        <f t="shared" si="5"/>
        <v>2</v>
      </c>
      <c r="Q45" s="57">
        <f t="shared" si="5"/>
        <v>0</v>
      </c>
      <c r="R45" s="54">
        <f t="shared" si="2"/>
        <v>42</v>
      </c>
    </row>
    <row r="46" spans="1:21" ht="13.15" x14ac:dyDescent="0.25">
      <c r="A46" s="50">
        <f t="shared" si="4"/>
        <v>43</v>
      </c>
      <c r="B46" s="57">
        <v>0</v>
      </c>
      <c r="C46" s="57">
        <v>0</v>
      </c>
      <c r="D46" s="57">
        <v>1</v>
      </c>
      <c r="E46" s="57">
        <v>0</v>
      </c>
      <c r="F46" s="57">
        <v>1</v>
      </c>
      <c r="G46" s="57">
        <v>0</v>
      </c>
      <c r="H46" s="57">
        <v>1</v>
      </c>
      <c r="I46" s="57">
        <v>1</v>
      </c>
      <c r="J46" s="58">
        <f t="shared" si="5"/>
        <v>0</v>
      </c>
      <c r="K46" s="57">
        <f t="shared" si="5"/>
        <v>0</v>
      </c>
      <c r="L46" s="57">
        <f t="shared" si="5"/>
        <v>32</v>
      </c>
      <c r="M46" s="57">
        <f t="shared" si="5"/>
        <v>0</v>
      </c>
      <c r="N46" s="57">
        <f t="shared" si="5"/>
        <v>8</v>
      </c>
      <c r="O46" s="57">
        <f t="shared" si="5"/>
        <v>0</v>
      </c>
      <c r="P46" s="57">
        <f t="shared" si="5"/>
        <v>2</v>
      </c>
      <c r="Q46" s="57">
        <f t="shared" si="5"/>
        <v>1</v>
      </c>
      <c r="R46" s="54">
        <f t="shared" si="2"/>
        <v>43</v>
      </c>
    </row>
    <row r="47" spans="1:21" ht="13.15" x14ac:dyDescent="0.25">
      <c r="A47" s="50">
        <f t="shared" si="4"/>
        <v>44</v>
      </c>
      <c r="B47" s="57">
        <v>0</v>
      </c>
      <c r="C47" s="57">
        <v>0</v>
      </c>
      <c r="D47" s="57">
        <v>1</v>
      </c>
      <c r="E47" s="57">
        <v>0</v>
      </c>
      <c r="F47" s="57">
        <v>1</v>
      </c>
      <c r="G47" s="57">
        <v>1</v>
      </c>
      <c r="H47" s="57">
        <v>0</v>
      </c>
      <c r="I47" s="57">
        <v>0</v>
      </c>
      <c r="J47" s="58">
        <f t="shared" si="5"/>
        <v>0</v>
      </c>
      <c r="K47" s="57">
        <f t="shared" si="5"/>
        <v>0</v>
      </c>
      <c r="L47" s="57">
        <f t="shared" si="5"/>
        <v>32</v>
      </c>
      <c r="M47" s="57">
        <f t="shared" si="5"/>
        <v>0</v>
      </c>
      <c r="N47" s="57">
        <f t="shared" si="5"/>
        <v>8</v>
      </c>
      <c r="O47" s="57">
        <f t="shared" si="5"/>
        <v>4</v>
      </c>
      <c r="P47" s="57">
        <f t="shared" si="5"/>
        <v>0</v>
      </c>
      <c r="Q47" s="57">
        <f t="shared" si="5"/>
        <v>0</v>
      </c>
      <c r="R47" s="54">
        <f t="shared" si="2"/>
        <v>44</v>
      </c>
    </row>
    <row r="48" spans="1:21" x14ac:dyDescent="0.2">
      <c r="A48" s="50">
        <f t="shared" si="4"/>
        <v>45</v>
      </c>
      <c r="B48" s="57">
        <v>0</v>
      </c>
      <c r="C48" s="57">
        <v>0</v>
      </c>
      <c r="D48" s="57">
        <v>1</v>
      </c>
      <c r="E48" s="57">
        <v>0</v>
      </c>
      <c r="F48" s="57">
        <v>1</v>
      </c>
      <c r="G48" s="57">
        <v>1</v>
      </c>
      <c r="H48" s="57">
        <v>0</v>
      </c>
      <c r="I48" s="57">
        <v>1</v>
      </c>
      <c r="J48" s="58">
        <f t="shared" si="5"/>
        <v>0</v>
      </c>
      <c r="K48" s="57">
        <f t="shared" si="5"/>
        <v>0</v>
      </c>
      <c r="L48" s="57">
        <f t="shared" si="5"/>
        <v>32</v>
      </c>
      <c r="M48" s="57">
        <f t="shared" si="5"/>
        <v>0</v>
      </c>
      <c r="N48" s="57">
        <f t="shared" si="5"/>
        <v>8</v>
      </c>
      <c r="O48" s="57">
        <f t="shared" si="5"/>
        <v>4</v>
      </c>
      <c r="P48" s="57">
        <f t="shared" si="5"/>
        <v>0</v>
      </c>
      <c r="Q48" s="57">
        <f t="shared" si="5"/>
        <v>1</v>
      </c>
      <c r="R48" s="54">
        <f t="shared" si="2"/>
        <v>45</v>
      </c>
    </row>
    <row r="49" spans="1:18" x14ac:dyDescent="0.2">
      <c r="A49" s="50">
        <f t="shared" si="4"/>
        <v>46</v>
      </c>
      <c r="B49" s="57">
        <v>0</v>
      </c>
      <c r="C49" s="57">
        <v>0</v>
      </c>
      <c r="D49" s="57">
        <v>1</v>
      </c>
      <c r="E49" s="57">
        <v>0</v>
      </c>
      <c r="F49" s="57">
        <v>1</v>
      </c>
      <c r="G49" s="57">
        <v>1</v>
      </c>
      <c r="H49" s="57">
        <v>1</v>
      </c>
      <c r="I49" s="57">
        <v>0</v>
      </c>
      <c r="J49" s="58">
        <f t="shared" si="5"/>
        <v>0</v>
      </c>
      <c r="K49" s="57">
        <f t="shared" si="5"/>
        <v>0</v>
      </c>
      <c r="L49" s="57">
        <f t="shared" si="5"/>
        <v>32</v>
      </c>
      <c r="M49" s="57">
        <f t="shared" si="5"/>
        <v>0</v>
      </c>
      <c r="N49" s="57">
        <f t="shared" si="5"/>
        <v>8</v>
      </c>
      <c r="O49" s="57">
        <f t="shared" si="5"/>
        <v>4</v>
      </c>
      <c r="P49" s="57">
        <f t="shared" si="5"/>
        <v>2</v>
      </c>
      <c r="Q49" s="57">
        <f t="shared" si="5"/>
        <v>0</v>
      </c>
      <c r="R49" s="54">
        <f t="shared" si="2"/>
        <v>46</v>
      </c>
    </row>
    <row r="50" spans="1:18" x14ac:dyDescent="0.2">
      <c r="A50" s="50">
        <f t="shared" si="4"/>
        <v>47</v>
      </c>
      <c r="B50" s="57">
        <v>0</v>
      </c>
      <c r="C50" s="57">
        <v>0</v>
      </c>
      <c r="D50" s="57">
        <v>1</v>
      </c>
      <c r="E50" s="57">
        <v>0</v>
      </c>
      <c r="F50" s="57">
        <v>1</v>
      </c>
      <c r="G50" s="57">
        <v>1</v>
      </c>
      <c r="H50" s="57">
        <v>1</v>
      </c>
      <c r="I50" s="57">
        <v>1</v>
      </c>
      <c r="J50" s="58">
        <f t="shared" si="5"/>
        <v>0</v>
      </c>
      <c r="K50" s="57">
        <f t="shared" si="5"/>
        <v>0</v>
      </c>
      <c r="L50" s="57">
        <f t="shared" si="5"/>
        <v>32</v>
      </c>
      <c r="M50" s="57">
        <f t="shared" si="5"/>
        <v>0</v>
      </c>
      <c r="N50" s="57">
        <f t="shared" si="5"/>
        <v>8</v>
      </c>
      <c r="O50" s="57">
        <f t="shared" si="5"/>
        <v>4</v>
      </c>
      <c r="P50" s="57">
        <f t="shared" si="5"/>
        <v>2</v>
      </c>
      <c r="Q50" s="57">
        <f t="shared" si="5"/>
        <v>1</v>
      </c>
      <c r="R50" s="54">
        <f t="shared" si="2"/>
        <v>47</v>
      </c>
    </row>
    <row r="51" spans="1:18" x14ac:dyDescent="0.2">
      <c r="A51" s="50">
        <f t="shared" si="4"/>
        <v>48</v>
      </c>
      <c r="B51" s="57">
        <v>0</v>
      </c>
      <c r="C51" s="57">
        <v>0</v>
      </c>
      <c r="D51" s="57">
        <v>1</v>
      </c>
      <c r="E51" s="57">
        <v>1</v>
      </c>
      <c r="F51" s="57">
        <v>0</v>
      </c>
      <c r="G51" s="57">
        <v>0</v>
      </c>
      <c r="H51" s="57">
        <v>0</v>
      </c>
      <c r="I51" s="57">
        <v>0</v>
      </c>
      <c r="J51" s="58">
        <f t="shared" si="5"/>
        <v>0</v>
      </c>
      <c r="K51" s="57">
        <f t="shared" si="5"/>
        <v>0</v>
      </c>
      <c r="L51" s="57">
        <f t="shared" si="5"/>
        <v>32</v>
      </c>
      <c r="M51" s="57">
        <f t="shared" si="5"/>
        <v>16</v>
      </c>
      <c r="N51" s="57">
        <f t="shared" si="5"/>
        <v>0</v>
      </c>
      <c r="O51" s="57">
        <f t="shared" si="5"/>
        <v>0</v>
      </c>
      <c r="P51" s="57">
        <f t="shared" si="5"/>
        <v>0</v>
      </c>
      <c r="Q51" s="57">
        <f t="shared" ref="Q51:Q114" si="6">IF(I51=1,I$2,0)</f>
        <v>0</v>
      </c>
      <c r="R51" s="54">
        <f t="shared" si="2"/>
        <v>48</v>
      </c>
    </row>
    <row r="52" spans="1:18" x14ac:dyDescent="0.2">
      <c r="A52" s="50">
        <f t="shared" si="4"/>
        <v>49</v>
      </c>
      <c r="B52" s="57">
        <v>0</v>
      </c>
      <c r="C52" s="57">
        <v>0</v>
      </c>
      <c r="D52" s="57">
        <v>1</v>
      </c>
      <c r="E52" s="57">
        <v>1</v>
      </c>
      <c r="F52" s="57">
        <v>0</v>
      </c>
      <c r="G52" s="57">
        <v>0</v>
      </c>
      <c r="H52" s="57">
        <v>0</v>
      </c>
      <c r="I52" s="57">
        <v>1</v>
      </c>
      <c r="J52" s="58">
        <f t="shared" ref="J52:P88" si="7">IF(B52=1,B$2,0)</f>
        <v>0</v>
      </c>
      <c r="K52" s="57">
        <f t="shared" si="7"/>
        <v>0</v>
      </c>
      <c r="L52" s="57">
        <f t="shared" si="7"/>
        <v>32</v>
      </c>
      <c r="M52" s="57">
        <f t="shared" si="7"/>
        <v>16</v>
      </c>
      <c r="N52" s="57">
        <f t="shared" si="7"/>
        <v>0</v>
      </c>
      <c r="O52" s="57">
        <f t="shared" si="7"/>
        <v>0</v>
      </c>
      <c r="P52" s="57">
        <f t="shared" si="7"/>
        <v>0</v>
      </c>
      <c r="Q52" s="57">
        <f t="shared" si="6"/>
        <v>1</v>
      </c>
      <c r="R52" s="54">
        <f t="shared" si="2"/>
        <v>49</v>
      </c>
    </row>
    <row r="53" spans="1:18" x14ac:dyDescent="0.2">
      <c r="A53" s="50">
        <f t="shared" si="4"/>
        <v>50</v>
      </c>
      <c r="B53" s="57">
        <v>0</v>
      </c>
      <c r="C53" s="57">
        <v>0</v>
      </c>
      <c r="D53" s="57">
        <v>1</v>
      </c>
      <c r="E53" s="57">
        <v>1</v>
      </c>
      <c r="F53" s="57">
        <v>0</v>
      </c>
      <c r="G53" s="57">
        <v>0</v>
      </c>
      <c r="H53" s="57">
        <v>1</v>
      </c>
      <c r="I53" s="57">
        <v>0</v>
      </c>
      <c r="J53" s="58">
        <f t="shared" si="7"/>
        <v>0</v>
      </c>
      <c r="K53" s="57">
        <f t="shared" si="7"/>
        <v>0</v>
      </c>
      <c r="L53" s="57">
        <f t="shared" si="7"/>
        <v>32</v>
      </c>
      <c r="M53" s="57">
        <f t="shared" si="7"/>
        <v>16</v>
      </c>
      <c r="N53" s="57">
        <f t="shared" si="7"/>
        <v>0</v>
      </c>
      <c r="O53" s="57">
        <f t="shared" si="7"/>
        <v>0</v>
      </c>
      <c r="P53" s="57">
        <f t="shared" si="7"/>
        <v>2</v>
      </c>
      <c r="Q53" s="57">
        <f t="shared" si="6"/>
        <v>0</v>
      </c>
      <c r="R53" s="54">
        <f t="shared" si="2"/>
        <v>50</v>
      </c>
    </row>
    <row r="54" spans="1:18" x14ac:dyDescent="0.2">
      <c r="A54" s="50">
        <f t="shared" si="4"/>
        <v>51</v>
      </c>
      <c r="B54" s="57">
        <v>0</v>
      </c>
      <c r="C54" s="57">
        <v>0</v>
      </c>
      <c r="D54" s="57">
        <v>1</v>
      </c>
      <c r="E54" s="57">
        <v>1</v>
      </c>
      <c r="F54" s="57">
        <v>0</v>
      </c>
      <c r="G54" s="57">
        <v>0</v>
      </c>
      <c r="H54" s="57">
        <v>1</v>
      </c>
      <c r="I54" s="57">
        <v>1</v>
      </c>
      <c r="J54" s="58">
        <f t="shared" si="7"/>
        <v>0</v>
      </c>
      <c r="K54" s="57">
        <f t="shared" si="7"/>
        <v>0</v>
      </c>
      <c r="L54" s="57">
        <f t="shared" si="7"/>
        <v>32</v>
      </c>
      <c r="M54" s="57">
        <f t="shared" si="7"/>
        <v>16</v>
      </c>
      <c r="N54" s="57">
        <f t="shared" si="7"/>
        <v>0</v>
      </c>
      <c r="O54" s="57">
        <f t="shared" si="7"/>
        <v>0</v>
      </c>
      <c r="P54" s="57">
        <f t="shared" si="7"/>
        <v>2</v>
      </c>
      <c r="Q54" s="57">
        <f t="shared" si="6"/>
        <v>1</v>
      </c>
      <c r="R54" s="54">
        <f t="shared" si="2"/>
        <v>51</v>
      </c>
    </row>
    <row r="55" spans="1:18" x14ac:dyDescent="0.2">
      <c r="A55" s="50">
        <f t="shared" si="4"/>
        <v>52</v>
      </c>
      <c r="B55" s="51">
        <v>0</v>
      </c>
      <c r="C55" s="57">
        <v>0</v>
      </c>
      <c r="D55" s="57">
        <v>1</v>
      </c>
      <c r="E55" s="57">
        <v>1</v>
      </c>
      <c r="F55" s="57">
        <v>0</v>
      </c>
      <c r="G55" s="57">
        <v>1</v>
      </c>
      <c r="H55" s="57">
        <v>0</v>
      </c>
      <c r="I55" s="57">
        <v>0</v>
      </c>
      <c r="J55" s="58">
        <f t="shared" si="7"/>
        <v>0</v>
      </c>
      <c r="K55" s="57">
        <f t="shared" si="7"/>
        <v>0</v>
      </c>
      <c r="L55" s="57">
        <f t="shared" si="7"/>
        <v>32</v>
      </c>
      <c r="M55" s="57">
        <f t="shared" si="7"/>
        <v>16</v>
      </c>
      <c r="N55" s="57">
        <f t="shared" si="7"/>
        <v>0</v>
      </c>
      <c r="O55" s="57">
        <f t="shared" si="7"/>
        <v>4</v>
      </c>
      <c r="P55" s="57">
        <f t="shared" si="7"/>
        <v>0</v>
      </c>
      <c r="Q55" s="57">
        <f t="shared" si="6"/>
        <v>0</v>
      </c>
      <c r="R55" s="54">
        <f t="shared" si="2"/>
        <v>52</v>
      </c>
    </row>
    <row r="56" spans="1:18" x14ac:dyDescent="0.2">
      <c r="A56" s="50">
        <f t="shared" si="4"/>
        <v>53</v>
      </c>
      <c r="B56" s="57">
        <v>0</v>
      </c>
      <c r="C56" s="57">
        <v>0</v>
      </c>
      <c r="D56" s="57">
        <v>1</v>
      </c>
      <c r="E56" s="57">
        <v>1</v>
      </c>
      <c r="F56" s="57">
        <v>0</v>
      </c>
      <c r="G56" s="57">
        <v>1</v>
      </c>
      <c r="H56" s="57">
        <v>0</v>
      </c>
      <c r="I56" s="57">
        <v>1</v>
      </c>
      <c r="J56" s="58">
        <f t="shared" si="7"/>
        <v>0</v>
      </c>
      <c r="K56" s="57">
        <f t="shared" si="7"/>
        <v>0</v>
      </c>
      <c r="L56" s="57">
        <f t="shared" si="7"/>
        <v>32</v>
      </c>
      <c r="M56" s="57">
        <f t="shared" si="7"/>
        <v>16</v>
      </c>
      <c r="N56" s="57">
        <f t="shared" si="7"/>
        <v>0</v>
      </c>
      <c r="O56" s="57">
        <f t="shared" si="7"/>
        <v>4</v>
      </c>
      <c r="P56" s="57">
        <f t="shared" si="7"/>
        <v>0</v>
      </c>
      <c r="Q56" s="57">
        <f t="shared" si="6"/>
        <v>1</v>
      </c>
      <c r="R56" s="54">
        <f t="shared" si="2"/>
        <v>53</v>
      </c>
    </row>
    <row r="57" spans="1:18" x14ac:dyDescent="0.2">
      <c r="A57" s="50">
        <f t="shared" si="4"/>
        <v>54</v>
      </c>
      <c r="B57" s="57">
        <v>0</v>
      </c>
      <c r="C57" s="57">
        <v>0</v>
      </c>
      <c r="D57" s="57">
        <v>1</v>
      </c>
      <c r="E57" s="57">
        <v>1</v>
      </c>
      <c r="F57" s="57">
        <v>0</v>
      </c>
      <c r="G57" s="57">
        <v>1</v>
      </c>
      <c r="H57" s="57">
        <v>1</v>
      </c>
      <c r="I57" s="57">
        <v>0</v>
      </c>
      <c r="J57" s="58">
        <f t="shared" si="7"/>
        <v>0</v>
      </c>
      <c r="K57" s="57">
        <f t="shared" si="7"/>
        <v>0</v>
      </c>
      <c r="L57" s="57">
        <f t="shared" si="7"/>
        <v>32</v>
      </c>
      <c r="M57" s="57">
        <f t="shared" si="7"/>
        <v>16</v>
      </c>
      <c r="N57" s="57">
        <f t="shared" si="7"/>
        <v>0</v>
      </c>
      <c r="O57" s="57">
        <f t="shared" si="7"/>
        <v>4</v>
      </c>
      <c r="P57" s="57">
        <f t="shared" si="7"/>
        <v>2</v>
      </c>
      <c r="Q57" s="57">
        <f t="shared" si="6"/>
        <v>0</v>
      </c>
      <c r="R57" s="54">
        <f t="shared" si="2"/>
        <v>54</v>
      </c>
    </row>
    <row r="58" spans="1:18" x14ac:dyDescent="0.2">
      <c r="A58" s="50">
        <f t="shared" si="4"/>
        <v>55</v>
      </c>
      <c r="B58" s="57">
        <v>0</v>
      </c>
      <c r="C58" s="57">
        <v>0</v>
      </c>
      <c r="D58" s="57">
        <v>1</v>
      </c>
      <c r="E58" s="57">
        <v>1</v>
      </c>
      <c r="F58" s="57">
        <v>0</v>
      </c>
      <c r="G58" s="57">
        <v>1</v>
      </c>
      <c r="H58" s="57">
        <v>1</v>
      </c>
      <c r="I58" s="57">
        <v>1</v>
      </c>
      <c r="J58" s="58">
        <f t="shared" si="7"/>
        <v>0</v>
      </c>
      <c r="K58" s="57">
        <f t="shared" si="7"/>
        <v>0</v>
      </c>
      <c r="L58" s="57">
        <f t="shared" si="7"/>
        <v>32</v>
      </c>
      <c r="M58" s="57">
        <f t="shared" si="7"/>
        <v>16</v>
      </c>
      <c r="N58" s="57">
        <f t="shared" si="7"/>
        <v>0</v>
      </c>
      <c r="O58" s="57">
        <f t="shared" si="7"/>
        <v>4</v>
      </c>
      <c r="P58" s="57">
        <f t="shared" si="7"/>
        <v>2</v>
      </c>
      <c r="Q58" s="57">
        <f t="shared" si="6"/>
        <v>1</v>
      </c>
      <c r="R58" s="54">
        <f t="shared" si="2"/>
        <v>55</v>
      </c>
    </row>
    <row r="59" spans="1:18" x14ac:dyDescent="0.2">
      <c r="A59" s="50">
        <f t="shared" si="4"/>
        <v>56</v>
      </c>
      <c r="B59" s="57">
        <v>0</v>
      </c>
      <c r="C59" s="57">
        <v>0</v>
      </c>
      <c r="D59" s="57">
        <v>1</v>
      </c>
      <c r="E59" s="57">
        <v>1</v>
      </c>
      <c r="F59" s="57">
        <v>1</v>
      </c>
      <c r="G59" s="57">
        <v>0</v>
      </c>
      <c r="H59" s="57">
        <v>0</v>
      </c>
      <c r="I59" s="57">
        <v>0</v>
      </c>
      <c r="J59" s="58">
        <f t="shared" si="7"/>
        <v>0</v>
      </c>
      <c r="K59" s="57">
        <f t="shared" si="7"/>
        <v>0</v>
      </c>
      <c r="L59" s="57">
        <f t="shared" si="7"/>
        <v>32</v>
      </c>
      <c r="M59" s="57">
        <f t="shared" si="7"/>
        <v>16</v>
      </c>
      <c r="N59" s="57">
        <f t="shared" si="7"/>
        <v>8</v>
      </c>
      <c r="O59" s="57">
        <f t="shared" si="7"/>
        <v>0</v>
      </c>
      <c r="P59" s="57">
        <f t="shared" si="7"/>
        <v>0</v>
      </c>
      <c r="Q59" s="57">
        <f t="shared" si="6"/>
        <v>0</v>
      </c>
      <c r="R59" s="54">
        <f t="shared" si="2"/>
        <v>56</v>
      </c>
    </row>
    <row r="60" spans="1:18" x14ac:dyDescent="0.2">
      <c r="A60" s="50">
        <f t="shared" si="4"/>
        <v>57</v>
      </c>
      <c r="B60" s="57">
        <v>0</v>
      </c>
      <c r="C60" s="57">
        <v>0</v>
      </c>
      <c r="D60" s="57">
        <v>1</v>
      </c>
      <c r="E60" s="57">
        <v>1</v>
      </c>
      <c r="F60" s="57">
        <v>1</v>
      </c>
      <c r="G60" s="57">
        <v>0</v>
      </c>
      <c r="H60" s="57">
        <v>0</v>
      </c>
      <c r="I60" s="57">
        <v>1</v>
      </c>
      <c r="J60" s="58">
        <f t="shared" si="7"/>
        <v>0</v>
      </c>
      <c r="K60" s="57">
        <f t="shared" si="7"/>
        <v>0</v>
      </c>
      <c r="L60" s="57">
        <f t="shared" si="7"/>
        <v>32</v>
      </c>
      <c r="M60" s="57">
        <f t="shared" si="7"/>
        <v>16</v>
      </c>
      <c r="N60" s="57">
        <f t="shared" si="7"/>
        <v>8</v>
      </c>
      <c r="O60" s="57">
        <f t="shared" si="7"/>
        <v>0</v>
      </c>
      <c r="P60" s="57">
        <f t="shared" si="7"/>
        <v>0</v>
      </c>
      <c r="Q60" s="57">
        <f t="shared" si="6"/>
        <v>1</v>
      </c>
      <c r="R60" s="54">
        <f t="shared" si="2"/>
        <v>57</v>
      </c>
    </row>
    <row r="61" spans="1:18" x14ac:dyDescent="0.2">
      <c r="A61" s="50">
        <f t="shared" si="4"/>
        <v>58</v>
      </c>
      <c r="B61" s="57">
        <v>0</v>
      </c>
      <c r="C61" s="57">
        <v>0</v>
      </c>
      <c r="D61" s="57">
        <v>1</v>
      </c>
      <c r="E61" s="57">
        <v>1</v>
      </c>
      <c r="F61" s="57">
        <v>1</v>
      </c>
      <c r="G61" s="57">
        <v>0</v>
      </c>
      <c r="H61" s="57">
        <v>1</v>
      </c>
      <c r="I61" s="57">
        <v>0</v>
      </c>
      <c r="J61" s="58">
        <f t="shared" si="7"/>
        <v>0</v>
      </c>
      <c r="K61" s="57">
        <f t="shared" si="7"/>
        <v>0</v>
      </c>
      <c r="L61" s="57">
        <f t="shared" si="7"/>
        <v>32</v>
      </c>
      <c r="M61" s="57">
        <f t="shared" si="7"/>
        <v>16</v>
      </c>
      <c r="N61" s="57">
        <f t="shared" si="7"/>
        <v>8</v>
      </c>
      <c r="O61" s="57">
        <f t="shared" si="7"/>
        <v>0</v>
      </c>
      <c r="P61" s="57">
        <f t="shared" si="7"/>
        <v>2</v>
      </c>
      <c r="Q61" s="57">
        <f t="shared" si="6"/>
        <v>0</v>
      </c>
      <c r="R61" s="54">
        <f t="shared" si="2"/>
        <v>58</v>
      </c>
    </row>
    <row r="62" spans="1:18" x14ac:dyDescent="0.2">
      <c r="A62" s="50">
        <f t="shared" si="4"/>
        <v>59</v>
      </c>
      <c r="B62" s="57">
        <v>0</v>
      </c>
      <c r="C62" s="57">
        <v>0</v>
      </c>
      <c r="D62" s="57">
        <v>1</v>
      </c>
      <c r="E62" s="57">
        <v>1</v>
      </c>
      <c r="F62" s="57">
        <v>1</v>
      </c>
      <c r="G62" s="57">
        <v>0</v>
      </c>
      <c r="H62" s="57">
        <v>1</v>
      </c>
      <c r="I62" s="57">
        <v>1</v>
      </c>
      <c r="J62" s="58">
        <f t="shared" si="7"/>
        <v>0</v>
      </c>
      <c r="K62" s="57">
        <f t="shared" si="7"/>
        <v>0</v>
      </c>
      <c r="L62" s="57">
        <f t="shared" si="7"/>
        <v>32</v>
      </c>
      <c r="M62" s="57">
        <f t="shared" si="7"/>
        <v>16</v>
      </c>
      <c r="N62" s="57">
        <f t="shared" si="7"/>
        <v>8</v>
      </c>
      <c r="O62" s="57">
        <f t="shared" si="7"/>
        <v>0</v>
      </c>
      <c r="P62" s="57">
        <f t="shared" si="7"/>
        <v>2</v>
      </c>
      <c r="Q62" s="57">
        <f t="shared" si="6"/>
        <v>1</v>
      </c>
      <c r="R62" s="54">
        <f t="shared" si="2"/>
        <v>59</v>
      </c>
    </row>
    <row r="63" spans="1:18" x14ac:dyDescent="0.2">
      <c r="A63" s="50">
        <f t="shared" si="4"/>
        <v>60</v>
      </c>
      <c r="B63" s="57">
        <v>0</v>
      </c>
      <c r="C63" s="57">
        <v>0</v>
      </c>
      <c r="D63" s="57">
        <v>1</v>
      </c>
      <c r="E63" s="57">
        <v>1</v>
      </c>
      <c r="F63" s="57">
        <v>1</v>
      </c>
      <c r="G63" s="57">
        <v>1</v>
      </c>
      <c r="H63" s="57">
        <v>0</v>
      </c>
      <c r="I63" s="57">
        <v>0</v>
      </c>
      <c r="J63" s="58">
        <f t="shared" si="7"/>
        <v>0</v>
      </c>
      <c r="K63" s="57">
        <f t="shared" si="7"/>
        <v>0</v>
      </c>
      <c r="L63" s="57">
        <f t="shared" si="7"/>
        <v>32</v>
      </c>
      <c r="M63" s="57">
        <f t="shared" si="7"/>
        <v>16</v>
      </c>
      <c r="N63" s="57">
        <f t="shared" si="7"/>
        <v>8</v>
      </c>
      <c r="O63" s="57">
        <f t="shared" si="7"/>
        <v>4</v>
      </c>
      <c r="P63" s="57">
        <f t="shared" si="7"/>
        <v>0</v>
      </c>
      <c r="Q63" s="57">
        <f t="shared" si="6"/>
        <v>0</v>
      </c>
      <c r="R63" s="54">
        <f t="shared" si="2"/>
        <v>60</v>
      </c>
    </row>
    <row r="64" spans="1:18" x14ac:dyDescent="0.2">
      <c r="A64" s="50">
        <f t="shared" si="4"/>
        <v>61</v>
      </c>
      <c r="B64" s="57">
        <v>0</v>
      </c>
      <c r="C64" s="57">
        <v>0</v>
      </c>
      <c r="D64" s="57">
        <v>1</v>
      </c>
      <c r="E64" s="57">
        <v>1</v>
      </c>
      <c r="F64" s="57">
        <v>1</v>
      </c>
      <c r="G64" s="57">
        <v>1</v>
      </c>
      <c r="H64" s="57">
        <v>0</v>
      </c>
      <c r="I64" s="57">
        <v>1</v>
      </c>
      <c r="J64" s="58">
        <f t="shared" si="7"/>
        <v>0</v>
      </c>
      <c r="K64" s="57">
        <f t="shared" si="7"/>
        <v>0</v>
      </c>
      <c r="L64" s="57">
        <f t="shared" si="7"/>
        <v>32</v>
      </c>
      <c r="M64" s="57">
        <f t="shared" si="7"/>
        <v>16</v>
      </c>
      <c r="N64" s="57">
        <f t="shared" si="7"/>
        <v>8</v>
      </c>
      <c r="O64" s="57">
        <f t="shared" si="7"/>
        <v>4</v>
      </c>
      <c r="P64" s="57">
        <f t="shared" si="7"/>
        <v>0</v>
      </c>
      <c r="Q64" s="57">
        <f t="shared" si="6"/>
        <v>1</v>
      </c>
      <c r="R64" s="54">
        <f t="shared" si="2"/>
        <v>61</v>
      </c>
    </row>
    <row r="65" spans="1:18" x14ac:dyDescent="0.2">
      <c r="A65" s="50">
        <f t="shared" si="4"/>
        <v>62</v>
      </c>
      <c r="B65" s="57">
        <v>0</v>
      </c>
      <c r="C65" s="57">
        <v>0</v>
      </c>
      <c r="D65" s="57">
        <v>1</v>
      </c>
      <c r="E65" s="57">
        <v>1</v>
      </c>
      <c r="F65" s="57">
        <v>1</v>
      </c>
      <c r="G65" s="57">
        <v>1</v>
      </c>
      <c r="H65" s="57">
        <v>1</v>
      </c>
      <c r="I65" s="57">
        <v>0</v>
      </c>
      <c r="J65" s="58">
        <f t="shared" si="7"/>
        <v>0</v>
      </c>
      <c r="K65" s="57">
        <f t="shared" si="7"/>
        <v>0</v>
      </c>
      <c r="L65" s="57">
        <f t="shared" si="7"/>
        <v>32</v>
      </c>
      <c r="M65" s="57">
        <f t="shared" si="7"/>
        <v>16</v>
      </c>
      <c r="N65" s="57">
        <f t="shared" si="7"/>
        <v>8</v>
      </c>
      <c r="O65" s="57">
        <f t="shared" si="7"/>
        <v>4</v>
      </c>
      <c r="P65" s="57">
        <f t="shared" si="7"/>
        <v>2</v>
      </c>
      <c r="Q65" s="57">
        <f t="shared" si="6"/>
        <v>0</v>
      </c>
      <c r="R65" s="54">
        <f t="shared" si="2"/>
        <v>62</v>
      </c>
    </row>
    <row r="66" spans="1:18" x14ac:dyDescent="0.2">
      <c r="A66" s="50">
        <f t="shared" si="4"/>
        <v>63</v>
      </c>
      <c r="B66" s="57">
        <v>0</v>
      </c>
      <c r="C66" s="57">
        <v>0</v>
      </c>
      <c r="D66" s="57">
        <v>1</v>
      </c>
      <c r="E66" s="57">
        <v>1</v>
      </c>
      <c r="F66" s="57">
        <v>1</v>
      </c>
      <c r="G66" s="57">
        <v>1</v>
      </c>
      <c r="H66" s="57">
        <v>1</v>
      </c>
      <c r="I66" s="57">
        <v>1</v>
      </c>
      <c r="J66" s="58">
        <f t="shared" si="7"/>
        <v>0</v>
      </c>
      <c r="K66" s="57">
        <f t="shared" si="7"/>
        <v>0</v>
      </c>
      <c r="L66" s="57">
        <f t="shared" si="7"/>
        <v>32</v>
      </c>
      <c r="M66" s="57">
        <f t="shared" si="7"/>
        <v>16</v>
      </c>
      <c r="N66" s="57">
        <f t="shared" si="7"/>
        <v>8</v>
      </c>
      <c r="O66" s="57">
        <f t="shared" si="7"/>
        <v>4</v>
      </c>
      <c r="P66" s="57">
        <f t="shared" si="7"/>
        <v>2</v>
      </c>
      <c r="Q66" s="57">
        <f t="shared" si="6"/>
        <v>1</v>
      </c>
      <c r="R66" s="54">
        <f t="shared" si="2"/>
        <v>63</v>
      </c>
    </row>
    <row r="67" spans="1:18" x14ac:dyDescent="0.2">
      <c r="A67" s="50">
        <f t="shared" si="4"/>
        <v>64</v>
      </c>
      <c r="B67" s="57">
        <v>0</v>
      </c>
      <c r="C67" s="57">
        <v>1</v>
      </c>
      <c r="D67" s="51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8">
        <f t="shared" si="7"/>
        <v>0</v>
      </c>
      <c r="K67" s="57">
        <f t="shared" si="7"/>
        <v>64</v>
      </c>
      <c r="L67" s="57">
        <f t="shared" si="7"/>
        <v>0</v>
      </c>
      <c r="M67" s="57">
        <f t="shared" si="7"/>
        <v>0</v>
      </c>
      <c r="N67" s="57">
        <f t="shared" si="7"/>
        <v>0</v>
      </c>
      <c r="O67" s="57">
        <f t="shared" si="7"/>
        <v>0</v>
      </c>
      <c r="P67" s="57">
        <f t="shared" si="7"/>
        <v>0</v>
      </c>
      <c r="Q67" s="57">
        <f t="shared" si="6"/>
        <v>0</v>
      </c>
      <c r="R67" s="54">
        <f t="shared" si="2"/>
        <v>64</v>
      </c>
    </row>
    <row r="68" spans="1:18" x14ac:dyDescent="0.2">
      <c r="A68" s="50">
        <f t="shared" si="4"/>
        <v>65</v>
      </c>
      <c r="B68" s="57">
        <v>0</v>
      </c>
      <c r="C68" s="57">
        <v>1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1</v>
      </c>
      <c r="J68" s="58">
        <f t="shared" si="7"/>
        <v>0</v>
      </c>
      <c r="K68" s="57">
        <f t="shared" si="7"/>
        <v>64</v>
      </c>
      <c r="L68" s="57">
        <f t="shared" si="7"/>
        <v>0</v>
      </c>
      <c r="M68" s="57">
        <f t="shared" si="7"/>
        <v>0</v>
      </c>
      <c r="N68" s="57">
        <f t="shared" si="7"/>
        <v>0</v>
      </c>
      <c r="O68" s="57">
        <f t="shared" si="7"/>
        <v>0</v>
      </c>
      <c r="P68" s="57">
        <f t="shared" si="7"/>
        <v>0</v>
      </c>
      <c r="Q68" s="57">
        <f t="shared" si="6"/>
        <v>1</v>
      </c>
      <c r="R68" s="54">
        <f t="shared" ref="R68:R131" si="8">SUM(J68:Q68)</f>
        <v>65</v>
      </c>
    </row>
    <row r="69" spans="1:18" x14ac:dyDescent="0.2">
      <c r="A69" s="50">
        <f t="shared" si="4"/>
        <v>66</v>
      </c>
      <c r="B69" s="57">
        <v>0</v>
      </c>
      <c r="C69" s="57">
        <v>1</v>
      </c>
      <c r="D69" s="57">
        <v>0</v>
      </c>
      <c r="E69" s="57">
        <v>0</v>
      </c>
      <c r="F69" s="57">
        <v>0</v>
      </c>
      <c r="G69" s="57">
        <v>0</v>
      </c>
      <c r="H69" s="57">
        <v>1</v>
      </c>
      <c r="I69" s="57">
        <v>0</v>
      </c>
      <c r="J69" s="58">
        <f t="shared" si="7"/>
        <v>0</v>
      </c>
      <c r="K69" s="57">
        <f t="shared" si="7"/>
        <v>64</v>
      </c>
      <c r="L69" s="57">
        <f t="shared" si="7"/>
        <v>0</v>
      </c>
      <c r="M69" s="57">
        <f t="shared" si="7"/>
        <v>0</v>
      </c>
      <c r="N69" s="57">
        <f t="shared" si="7"/>
        <v>0</v>
      </c>
      <c r="O69" s="57">
        <f t="shared" si="7"/>
        <v>0</v>
      </c>
      <c r="P69" s="57">
        <f t="shared" si="7"/>
        <v>2</v>
      </c>
      <c r="Q69" s="57">
        <f t="shared" si="6"/>
        <v>0</v>
      </c>
      <c r="R69" s="54">
        <f t="shared" si="8"/>
        <v>66</v>
      </c>
    </row>
    <row r="70" spans="1:18" x14ac:dyDescent="0.2">
      <c r="A70" s="50">
        <f t="shared" si="4"/>
        <v>67</v>
      </c>
      <c r="B70" s="57">
        <v>0</v>
      </c>
      <c r="C70" s="57">
        <v>1</v>
      </c>
      <c r="D70" s="57">
        <v>0</v>
      </c>
      <c r="E70" s="57">
        <v>0</v>
      </c>
      <c r="F70" s="57">
        <v>0</v>
      </c>
      <c r="G70" s="57">
        <v>0</v>
      </c>
      <c r="H70" s="57">
        <v>1</v>
      </c>
      <c r="I70" s="57">
        <v>1</v>
      </c>
      <c r="J70" s="58">
        <f t="shared" si="7"/>
        <v>0</v>
      </c>
      <c r="K70" s="57">
        <f t="shared" si="7"/>
        <v>64</v>
      </c>
      <c r="L70" s="57">
        <f t="shared" si="7"/>
        <v>0</v>
      </c>
      <c r="M70" s="57">
        <f t="shared" si="7"/>
        <v>0</v>
      </c>
      <c r="N70" s="57">
        <f t="shared" si="7"/>
        <v>0</v>
      </c>
      <c r="O70" s="57">
        <f t="shared" si="7"/>
        <v>0</v>
      </c>
      <c r="P70" s="57">
        <f t="shared" si="7"/>
        <v>2</v>
      </c>
      <c r="Q70" s="57">
        <f t="shared" si="6"/>
        <v>1</v>
      </c>
      <c r="R70" s="54">
        <f t="shared" si="8"/>
        <v>67</v>
      </c>
    </row>
    <row r="71" spans="1:18" x14ac:dyDescent="0.2">
      <c r="A71" s="50">
        <f t="shared" ref="A71:A134" si="9">A70+1</f>
        <v>68</v>
      </c>
      <c r="B71" s="57">
        <v>0</v>
      </c>
      <c r="C71" s="57">
        <v>1</v>
      </c>
      <c r="D71" s="57">
        <v>0</v>
      </c>
      <c r="E71" s="57">
        <v>0</v>
      </c>
      <c r="F71" s="57">
        <v>0</v>
      </c>
      <c r="G71" s="57">
        <v>1</v>
      </c>
      <c r="H71" s="57">
        <v>0</v>
      </c>
      <c r="I71" s="57">
        <v>0</v>
      </c>
      <c r="J71" s="58">
        <f t="shared" si="7"/>
        <v>0</v>
      </c>
      <c r="K71" s="57">
        <f t="shared" si="7"/>
        <v>64</v>
      </c>
      <c r="L71" s="57">
        <f t="shared" si="7"/>
        <v>0</v>
      </c>
      <c r="M71" s="57">
        <f t="shared" si="7"/>
        <v>0</v>
      </c>
      <c r="N71" s="57">
        <f t="shared" si="7"/>
        <v>0</v>
      </c>
      <c r="O71" s="57">
        <f t="shared" si="7"/>
        <v>4</v>
      </c>
      <c r="P71" s="57">
        <f t="shared" si="7"/>
        <v>0</v>
      </c>
      <c r="Q71" s="57">
        <f t="shared" si="6"/>
        <v>0</v>
      </c>
      <c r="R71" s="54">
        <f t="shared" si="8"/>
        <v>68</v>
      </c>
    </row>
    <row r="72" spans="1:18" x14ac:dyDescent="0.2">
      <c r="A72" s="50">
        <f t="shared" si="9"/>
        <v>69</v>
      </c>
      <c r="B72" s="57">
        <v>0</v>
      </c>
      <c r="C72" s="57">
        <v>1</v>
      </c>
      <c r="D72" s="57">
        <v>0</v>
      </c>
      <c r="E72" s="57">
        <v>0</v>
      </c>
      <c r="F72" s="57">
        <v>0</v>
      </c>
      <c r="G72" s="57">
        <v>1</v>
      </c>
      <c r="H72" s="57">
        <v>0</v>
      </c>
      <c r="I72" s="57">
        <v>1</v>
      </c>
      <c r="J72" s="58">
        <f t="shared" si="7"/>
        <v>0</v>
      </c>
      <c r="K72" s="57">
        <f t="shared" si="7"/>
        <v>64</v>
      </c>
      <c r="L72" s="57">
        <f t="shared" si="7"/>
        <v>0</v>
      </c>
      <c r="M72" s="57">
        <f t="shared" si="7"/>
        <v>0</v>
      </c>
      <c r="N72" s="57">
        <f t="shared" si="7"/>
        <v>0</v>
      </c>
      <c r="O72" s="57">
        <f t="shared" si="7"/>
        <v>4</v>
      </c>
      <c r="P72" s="57">
        <f t="shared" si="7"/>
        <v>0</v>
      </c>
      <c r="Q72" s="57">
        <f t="shared" si="6"/>
        <v>1</v>
      </c>
      <c r="R72" s="54">
        <f t="shared" si="8"/>
        <v>69</v>
      </c>
    </row>
    <row r="73" spans="1:18" x14ac:dyDescent="0.2">
      <c r="A73" s="50">
        <f t="shared" si="9"/>
        <v>70</v>
      </c>
      <c r="B73" s="57">
        <v>0</v>
      </c>
      <c r="C73" s="57">
        <v>1</v>
      </c>
      <c r="D73" s="57">
        <v>0</v>
      </c>
      <c r="E73" s="57">
        <v>0</v>
      </c>
      <c r="F73" s="57">
        <v>0</v>
      </c>
      <c r="G73" s="57">
        <v>1</v>
      </c>
      <c r="H73" s="57">
        <v>1</v>
      </c>
      <c r="I73" s="57">
        <v>0</v>
      </c>
      <c r="J73" s="58">
        <f t="shared" si="7"/>
        <v>0</v>
      </c>
      <c r="K73" s="57">
        <f t="shared" si="7"/>
        <v>64</v>
      </c>
      <c r="L73" s="57">
        <f t="shared" si="7"/>
        <v>0</v>
      </c>
      <c r="M73" s="57">
        <f t="shared" si="7"/>
        <v>0</v>
      </c>
      <c r="N73" s="57">
        <f t="shared" si="7"/>
        <v>0</v>
      </c>
      <c r="O73" s="57">
        <f t="shared" si="7"/>
        <v>4</v>
      </c>
      <c r="P73" s="57">
        <f t="shared" si="7"/>
        <v>2</v>
      </c>
      <c r="Q73" s="57">
        <f t="shared" si="6"/>
        <v>0</v>
      </c>
      <c r="R73" s="54">
        <f t="shared" si="8"/>
        <v>70</v>
      </c>
    </row>
    <row r="74" spans="1:18" x14ac:dyDescent="0.2">
      <c r="A74" s="50">
        <f t="shared" si="9"/>
        <v>71</v>
      </c>
      <c r="B74" s="57">
        <v>0</v>
      </c>
      <c r="C74" s="57">
        <v>1</v>
      </c>
      <c r="D74" s="57">
        <v>0</v>
      </c>
      <c r="E74" s="57">
        <v>0</v>
      </c>
      <c r="F74" s="57">
        <v>0</v>
      </c>
      <c r="G74" s="57">
        <v>1</v>
      </c>
      <c r="H74" s="57">
        <v>1</v>
      </c>
      <c r="I74" s="57">
        <v>1</v>
      </c>
      <c r="J74" s="58">
        <f t="shared" si="7"/>
        <v>0</v>
      </c>
      <c r="K74" s="57">
        <f t="shared" si="7"/>
        <v>64</v>
      </c>
      <c r="L74" s="57">
        <f t="shared" si="7"/>
        <v>0</v>
      </c>
      <c r="M74" s="57">
        <f t="shared" si="7"/>
        <v>0</v>
      </c>
      <c r="N74" s="57">
        <f t="shared" si="7"/>
        <v>0</v>
      </c>
      <c r="O74" s="57">
        <f t="shared" si="7"/>
        <v>4</v>
      </c>
      <c r="P74" s="57">
        <f t="shared" si="7"/>
        <v>2</v>
      </c>
      <c r="Q74" s="57">
        <f t="shared" si="6"/>
        <v>1</v>
      </c>
      <c r="R74" s="54">
        <f t="shared" si="8"/>
        <v>71</v>
      </c>
    </row>
    <row r="75" spans="1:18" x14ac:dyDescent="0.2">
      <c r="A75" s="50">
        <f t="shared" si="9"/>
        <v>72</v>
      </c>
      <c r="B75" s="57">
        <v>0</v>
      </c>
      <c r="C75" s="57">
        <v>1</v>
      </c>
      <c r="D75" s="57">
        <v>0</v>
      </c>
      <c r="E75" s="57">
        <v>0</v>
      </c>
      <c r="F75" s="57">
        <v>1</v>
      </c>
      <c r="G75" s="57">
        <v>0</v>
      </c>
      <c r="H75" s="57">
        <v>0</v>
      </c>
      <c r="I75" s="57">
        <v>0</v>
      </c>
      <c r="J75" s="58">
        <f t="shared" si="7"/>
        <v>0</v>
      </c>
      <c r="K75" s="57">
        <f t="shared" si="7"/>
        <v>64</v>
      </c>
      <c r="L75" s="57">
        <f t="shared" si="7"/>
        <v>0</v>
      </c>
      <c r="M75" s="57">
        <f t="shared" si="7"/>
        <v>0</v>
      </c>
      <c r="N75" s="57">
        <f t="shared" si="7"/>
        <v>8</v>
      </c>
      <c r="O75" s="57">
        <f t="shared" si="7"/>
        <v>0</v>
      </c>
      <c r="P75" s="57">
        <f t="shared" si="7"/>
        <v>0</v>
      </c>
      <c r="Q75" s="57">
        <f t="shared" si="6"/>
        <v>0</v>
      </c>
      <c r="R75" s="54">
        <f t="shared" si="8"/>
        <v>72</v>
      </c>
    </row>
    <row r="76" spans="1:18" x14ac:dyDescent="0.2">
      <c r="A76" s="50">
        <f t="shared" si="9"/>
        <v>73</v>
      </c>
      <c r="B76" s="57">
        <v>0</v>
      </c>
      <c r="C76" s="57">
        <v>1</v>
      </c>
      <c r="D76" s="57">
        <v>0</v>
      </c>
      <c r="E76" s="57">
        <v>0</v>
      </c>
      <c r="F76" s="57">
        <v>1</v>
      </c>
      <c r="G76" s="57">
        <v>0</v>
      </c>
      <c r="H76" s="57">
        <v>0</v>
      </c>
      <c r="I76" s="57">
        <v>1</v>
      </c>
      <c r="J76" s="58">
        <f t="shared" si="7"/>
        <v>0</v>
      </c>
      <c r="K76" s="57">
        <f t="shared" si="7"/>
        <v>64</v>
      </c>
      <c r="L76" s="57">
        <f t="shared" si="7"/>
        <v>0</v>
      </c>
      <c r="M76" s="57">
        <f t="shared" si="7"/>
        <v>0</v>
      </c>
      <c r="N76" s="57">
        <f t="shared" si="7"/>
        <v>8</v>
      </c>
      <c r="O76" s="57">
        <f t="shared" si="7"/>
        <v>0</v>
      </c>
      <c r="P76" s="57">
        <f t="shared" si="7"/>
        <v>0</v>
      </c>
      <c r="Q76" s="57">
        <f t="shared" si="6"/>
        <v>1</v>
      </c>
      <c r="R76" s="54">
        <f t="shared" si="8"/>
        <v>73</v>
      </c>
    </row>
    <row r="77" spans="1:18" x14ac:dyDescent="0.2">
      <c r="A77" s="50">
        <f t="shared" si="9"/>
        <v>74</v>
      </c>
      <c r="B77" s="57">
        <v>0</v>
      </c>
      <c r="C77" s="57">
        <v>1</v>
      </c>
      <c r="D77" s="57">
        <v>0</v>
      </c>
      <c r="E77" s="57">
        <v>0</v>
      </c>
      <c r="F77" s="57">
        <v>1</v>
      </c>
      <c r="G77" s="57">
        <v>0</v>
      </c>
      <c r="H77" s="57">
        <v>1</v>
      </c>
      <c r="I77" s="57">
        <v>0</v>
      </c>
      <c r="J77" s="58">
        <f t="shared" si="7"/>
        <v>0</v>
      </c>
      <c r="K77" s="57">
        <f t="shared" si="7"/>
        <v>64</v>
      </c>
      <c r="L77" s="57">
        <f t="shared" si="7"/>
        <v>0</v>
      </c>
      <c r="M77" s="57">
        <f t="shared" si="7"/>
        <v>0</v>
      </c>
      <c r="N77" s="57">
        <f t="shared" si="7"/>
        <v>8</v>
      </c>
      <c r="O77" s="57">
        <f t="shared" si="7"/>
        <v>0</v>
      </c>
      <c r="P77" s="57">
        <f t="shared" si="7"/>
        <v>2</v>
      </c>
      <c r="Q77" s="57">
        <f t="shared" si="6"/>
        <v>0</v>
      </c>
      <c r="R77" s="54">
        <f t="shared" si="8"/>
        <v>74</v>
      </c>
    </row>
    <row r="78" spans="1:18" x14ac:dyDescent="0.2">
      <c r="A78" s="50">
        <f t="shared" si="9"/>
        <v>75</v>
      </c>
      <c r="B78" s="57">
        <v>0</v>
      </c>
      <c r="C78" s="57">
        <v>1</v>
      </c>
      <c r="D78" s="57">
        <v>0</v>
      </c>
      <c r="E78" s="57">
        <v>0</v>
      </c>
      <c r="F78" s="57">
        <v>1</v>
      </c>
      <c r="G78" s="57">
        <v>0</v>
      </c>
      <c r="H78" s="57">
        <v>1</v>
      </c>
      <c r="I78" s="57">
        <v>1</v>
      </c>
      <c r="J78" s="58">
        <f t="shared" si="7"/>
        <v>0</v>
      </c>
      <c r="K78" s="57">
        <f t="shared" si="7"/>
        <v>64</v>
      </c>
      <c r="L78" s="57">
        <f t="shared" si="7"/>
        <v>0</v>
      </c>
      <c r="M78" s="57">
        <f t="shared" si="7"/>
        <v>0</v>
      </c>
      <c r="N78" s="57">
        <f t="shared" si="7"/>
        <v>8</v>
      </c>
      <c r="O78" s="57">
        <f t="shared" si="7"/>
        <v>0</v>
      </c>
      <c r="P78" s="57">
        <f t="shared" si="7"/>
        <v>2</v>
      </c>
      <c r="Q78" s="57">
        <f t="shared" si="6"/>
        <v>1</v>
      </c>
      <c r="R78" s="54">
        <f t="shared" si="8"/>
        <v>75</v>
      </c>
    </row>
    <row r="79" spans="1:18" x14ac:dyDescent="0.2">
      <c r="A79" s="50">
        <f t="shared" si="9"/>
        <v>76</v>
      </c>
      <c r="B79" s="57">
        <v>0</v>
      </c>
      <c r="C79" s="57">
        <v>1</v>
      </c>
      <c r="D79" s="57">
        <v>0</v>
      </c>
      <c r="E79" s="57">
        <v>0</v>
      </c>
      <c r="F79" s="57">
        <v>1</v>
      </c>
      <c r="G79" s="57">
        <v>1</v>
      </c>
      <c r="H79" s="57">
        <v>0</v>
      </c>
      <c r="I79" s="57">
        <v>0</v>
      </c>
      <c r="J79" s="58">
        <f t="shared" si="7"/>
        <v>0</v>
      </c>
      <c r="K79" s="57">
        <f t="shared" si="7"/>
        <v>64</v>
      </c>
      <c r="L79" s="57">
        <f t="shared" si="7"/>
        <v>0</v>
      </c>
      <c r="M79" s="57">
        <f t="shared" si="7"/>
        <v>0</v>
      </c>
      <c r="N79" s="57">
        <f t="shared" si="7"/>
        <v>8</v>
      </c>
      <c r="O79" s="57">
        <f t="shared" si="7"/>
        <v>4</v>
      </c>
      <c r="P79" s="57">
        <f t="shared" si="7"/>
        <v>0</v>
      </c>
      <c r="Q79" s="57">
        <f t="shared" si="6"/>
        <v>0</v>
      </c>
      <c r="R79" s="54">
        <f t="shared" si="8"/>
        <v>76</v>
      </c>
    </row>
    <row r="80" spans="1:18" x14ac:dyDescent="0.2">
      <c r="A80" s="50">
        <f t="shared" si="9"/>
        <v>77</v>
      </c>
      <c r="B80" s="57">
        <v>0</v>
      </c>
      <c r="C80" s="57">
        <v>1</v>
      </c>
      <c r="D80" s="57">
        <v>0</v>
      </c>
      <c r="E80" s="57">
        <v>0</v>
      </c>
      <c r="F80" s="57">
        <v>1</v>
      </c>
      <c r="G80" s="57">
        <v>1</v>
      </c>
      <c r="H80" s="57">
        <v>0</v>
      </c>
      <c r="I80" s="57">
        <v>1</v>
      </c>
      <c r="J80" s="58">
        <f t="shared" si="7"/>
        <v>0</v>
      </c>
      <c r="K80" s="57">
        <f t="shared" si="7"/>
        <v>64</v>
      </c>
      <c r="L80" s="57">
        <f t="shared" si="7"/>
        <v>0</v>
      </c>
      <c r="M80" s="57">
        <f t="shared" si="7"/>
        <v>0</v>
      </c>
      <c r="N80" s="57">
        <f t="shared" si="7"/>
        <v>8</v>
      </c>
      <c r="O80" s="57">
        <f t="shared" si="7"/>
        <v>4</v>
      </c>
      <c r="P80" s="57">
        <f t="shared" si="7"/>
        <v>0</v>
      </c>
      <c r="Q80" s="57">
        <f t="shared" si="6"/>
        <v>1</v>
      </c>
      <c r="R80" s="54">
        <f t="shared" si="8"/>
        <v>77</v>
      </c>
    </row>
    <row r="81" spans="1:18" x14ac:dyDescent="0.2">
      <c r="A81" s="50">
        <f t="shared" si="9"/>
        <v>78</v>
      </c>
      <c r="B81" s="51">
        <v>0</v>
      </c>
      <c r="C81" s="57">
        <v>1</v>
      </c>
      <c r="D81" s="57">
        <v>0</v>
      </c>
      <c r="E81" s="57">
        <v>0</v>
      </c>
      <c r="F81" s="57">
        <v>1</v>
      </c>
      <c r="G81" s="57">
        <v>1</v>
      </c>
      <c r="H81" s="57">
        <v>1</v>
      </c>
      <c r="I81" s="57">
        <v>0</v>
      </c>
      <c r="J81" s="58">
        <f t="shared" si="7"/>
        <v>0</v>
      </c>
      <c r="K81" s="57">
        <f t="shared" si="7"/>
        <v>64</v>
      </c>
      <c r="L81" s="57">
        <f t="shared" si="7"/>
        <v>0</v>
      </c>
      <c r="M81" s="57">
        <f t="shared" si="7"/>
        <v>0</v>
      </c>
      <c r="N81" s="57">
        <f t="shared" si="7"/>
        <v>8</v>
      </c>
      <c r="O81" s="57">
        <f t="shared" si="7"/>
        <v>4</v>
      </c>
      <c r="P81" s="57">
        <f t="shared" si="7"/>
        <v>2</v>
      </c>
      <c r="Q81" s="57">
        <f t="shared" si="6"/>
        <v>0</v>
      </c>
      <c r="R81" s="54">
        <f t="shared" si="8"/>
        <v>78</v>
      </c>
    </row>
    <row r="82" spans="1:18" x14ac:dyDescent="0.2">
      <c r="A82" s="50">
        <f t="shared" si="9"/>
        <v>79</v>
      </c>
      <c r="B82" s="57">
        <v>0</v>
      </c>
      <c r="C82" s="57">
        <v>1</v>
      </c>
      <c r="D82" s="57">
        <v>0</v>
      </c>
      <c r="E82" s="57">
        <v>0</v>
      </c>
      <c r="F82" s="57">
        <v>1</v>
      </c>
      <c r="G82" s="57">
        <v>1</v>
      </c>
      <c r="H82" s="57">
        <v>1</v>
      </c>
      <c r="I82" s="57">
        <v>1</v>
      </c>
      <c r="J82" s="58">
        <f t="shared" si="7"/>
        <v>0</v>
      </c>
      <c r="K82" s="57">
        <f t="shared" si="7"/>
        <v>64</v>
      </c>
      <c r="L82" s="57">
        <f t="shared" si="7"/>
        <v>0</v>
      </c>
      <c r="M82" s="57">
        <f t="shared" si="7"/>
        <v>0</v>
      </c>
      <c r="N82" s="57">
        <f t="shared" si="7"/>
        <v>8</v>
      </c>
      <c r="O82" s="57">
        <f t="shared" si="7"/>
        <v>4</v>
      </c>
      <c r="P82" s="57">
        <f t="shared" si="7"/>
        <v>2</v>
      </c>
      <c r="Q82" s="57">
        <f t="shared" si="6"/>
        <v>1</v>
      </c>
      <c r="R82" s="54">
        <f t="shared" si="8"/>
        <v>79</v>
      </c>
    </row>
    <row r="83" spans="1:18" x14ac:dyDescent="0.2">
      <c r="A83" s="50">
        <f t="shared" si="9"/>
        <v>80</v>
      </c>
      <c r="B83" s="57">
        <v>0</v>
      </c>
      <c r="C83" s="57">
        <v>1</v>
      </c>
      <c r="D83" s="57">
        <v>0</v>
      </c>
      <c r="E83" s="57">
        <v>1</v>
      </c>
      <c r="F83" s="57">
        <v>0</v>
      </c>
      <c r="G83" s="57">
        <v>0</v>
      </c>
      <c r="H83" s="57">
        <v>0</v>
      </c>
      <c r="I83" s="57">
        <v>0</v>
      </c>
      <c r="J83" s="58">
        <f t="shared" si="7"/>
        <v>0</v>
      </c>
      <c r="K83" s="57">
        <f t="shared" si="7"/>
        <v>64</v>
      </c>
      <c r="L83" s="57">
        <f t="shared" si="7"/>
        <v>0</v>
      </c>
      <c r="M83" s="57">
        <f t="shared" si="7"/>
        <v>16</v>
      </c>
      <c r="N83" s="57">
        <f t="shared" si="7"/>
        <v>0</v>
      </c>
      <c r="O83" s="57">
        <f t="shared" si="7"/>
        <v>0</v>
      </c>
      <c r="P83" s="57">
        <f t="shared" si="7"/>
        <v>0</v>
      </c>
      <c r="Q83" s="57">
        <f t="shared" si="6"/>
        <v>0</v>
      </c>
      <c r="R83" s="54">
        <f t="shared" si="8"/>
        <v>80</v>
      </c>
    </row>
    <row r="84" spans="1:18" x14ac:dyDescent="0.2">
      <c r="A84" s="50">
        <f t="shared" si="9"/>
        <v>81</v>
      </c>
      <c r="B84" s="57">
        <v>0</v>
      </c>
      <c r="C84" s="57">
        <v>1</v>
      </c>
      <c r="D84" s="57">
        <v>0</v>
      </c>
      <c r="E84" s="57">
        <v>1</v>
      </c>
      <c r="F84" s="57">
        <v>0</v>
      </c>
      <c r="G84" s="57">
        <v>0</v>
      </c>
      <c r="H84" s="57">
        <v>0</v>
      </c>
      <c r="I84" s="57">
        <v>1</v>
      </c>
      <c r="J84" s="58">
        <f t="shared" si="7"/>
        <v>0</v>
      </c>
      <c r="K84" s="57">
        <f t="shared" si="7"/>
        <v>64</v>
      </c>
      <c r="L84" s="57">
        <f t="shared" si="7"/>
        <v>0</v>
      </c>
      <c r="M84" s="57">
        <f t="shared" si="7"/>
        <v>16</v>
      </c>
      <c r="N84" s="57">
        <f t="shared" si="7"/>
        <v>0</v>
      </c>
      <c r="O84" s="57">
        <f t="shared" si="7"/>
        <v>0</v>
      </c>
      <c r="P84" s="57">
        <f t="shared" si="7"/>
        <v>0</v>
      </c>
      <c r="Q84" s="57">
        <f t="shared" si="6"/>
        <v>1</v>
      </c>
      <c r="R84" s="54">
        <f t="shared" si="8"/>
        <v>81</v>
      </c>
    </row>
    <row r="85" spans="1:18" x14ac:dyDescent="0.2">
      <c r="A85" s="50">
        <f t="shared" si="9"/>
        <v>82</v>
      </c>
      <c r="B85" s="57">
        <v>0</v>
      </c>
      <c r="C85" s="57">
        <v>1</v>
      </c>
      <c r="D85" s="57">
        <v>0</v>
      </c>
      <c r="E85" s="57">
        <v>1</v>
      </c>
      <c r="F85" s="57">
        <v>0</v>
      </c>
      <c r="G85" s="57">
        <v>0</v>
      </c>
      <c r="H85" s="57">
        <v>1</v>
      </c>
      <c r="I85" s="57">
        <v>0</v>
      </c>
      <c r="J85" s="58">
        <f t="shared" si="7"/>
        <v>0</v>
      </c>
      <c r="K85" s="57">
        <f t="shared" si="7"/>
        <v>64</v>
      </c>
      <c r="L85" s="57">
        <f t="shared" si="7"/>
        <v>0</v>
      </c>
      <c r="M85" s="57">
        <f t="shared" si="7"/>
        <v>16</v>
      </c>
      <c r="N85" s="57">
        <f t="shared" si="7"/>
        <v>0</v>
      </c>
      <c r="O85" s="57">
        <f t="shared" si="7"/>
        <v>0</v>
      </c>
      <c r="P85" s="57">
        <f t="shared" si="7"/>
        <v>2</v>
      </c>
      <c r="Q85" s="57">
        <f t="shared" si="6"/>
        <v>0</v>
      </c>
      <c r="R85" s="54">
        <f t="shared" si="8"/>
        <v>82</v>
      </c>
    </row>
    <row r="86" spans="1:18" x14ac:dyDescent="0.2">
      <c r="A86" s="50">
        <f t="shared" si="9"/>
        <v>83</v>
      </c>
      <c r="B86" s="57">
        <v>0</v>
      </c>
      <c r="C86" s="57">
        <v>1</v>
      </c>
      <c r="D86" s="57">
        <v>0</v>
      </c>
      <c r="E86" s="57">
        <v>1</v>
      </c>
      <c r="F86" s="57">
        <v>0</v>
      </c>
      <c r="G86" s="57">
        <v>0</v>
      </c>
      <c r="H86" s="57">
        <v>1</v>
      </c>
      <c r="I86" s="57">
        <v>1</v>
      </c>
      <c r="J86" s="58">
        <f t="shared" si="7"/>
        <v>0</v>
      </c>
      <c r="K86" s="57">
        <f t="shared" si="7"/>
        <v>64</v>
      </c>
      <c r="L86" s="57">
        <f t="shared" si="7"/>
        <v>0</v>
      </c>
      <c r="M86" s="57">
        <f t="shared" si="7"/>
        <v>16</v>
      </c>
      <c r="N86" s="57">
        <f t="shared" si="7"/>
        <v>0</v>
      </c>
      <c r="O86" s="57">
        <f t="shared" si="7"/>
        <v>0</v>
      </c>
      <c r="P86" s="57">
        <f t="shared" si="7"/>
        <v>2</v>
      </c>
      <c r="Q86" s="57">
        <f t="shared" si="6"/>
        <v>1</v>
      </c>
      <c r="R86" s="54">
        <f t="shared" si="8"/>
        <v>83</v>
      </c>
    </row>
    <row r="87" spans="1:18" x14ac:dyDescent="0.2">
      <c r="A87" s="50">
        <f t="shared" si="9"/>
        <v>84</v>
      </c>
      <c r="B87" s="57">
        <v>0</v>
      </c>
      <c r="C87" s="57">
        <v>1</v>
      </c>
      <c r="D87" s="57">
        <v>0</v>
      </c>
      <c r="E87" s="57">
        <v>1</v>
      </c>
      <c r="F87" s="57">
        <v>0</v>
      </c>
      <c r="G87" s="57">
        <v>1</v>
      </c>
      <c r="H87" s="57">
        <v>0</v>
      </c>
      <c r="I87" s="57">
        <v>0</v>
      </c>
      <c r="J87" s="58">
        <f t="shared" si="7"/>
        <v>0</v>
      </c>
      <c r="K87" s="57">
        <f t="shared" si="7"/>
        <v>64</v>
      </c>
      <c r="L87" s="57">
        <f t="shared" si="7"/>
        <v>0</v>
      </c>
      <c r="M87" s="57">
        <f t="shared" si="7"/>
        <v>16</v>
      </c>
      <c r="N87" s="57">
        <f t="shared" si="7"/>
        <v>0</v>
      </c>
      <c r="O87" s="57">
        <f t="shared" si="7"/>
        <v>4</v>
      </c>
      <c r="P87" s="57">
        <f t="shared" si="7"/>
        <v>0</v>
      </c>
      <c r="Q87" s="57">
        <f t="shared" si="6"/>
        <v>0</v>
      </c>
      <c r="R87" s="54">
        <f t="shared" si="8"/>
        <v>84</v>
      </c>
    </row>
    <row r="88" spans="1:18" x14ac:dyDescent="0.2">
      <c r="A88" s="50">
        <f t="shared" si="9"/>
        <v>85</v>
      </c>
      <c r="B88" s="57">
        <v>0</v>
      </c>
      <c r="C88" s="57">
        <v>1</v>
      </c>
      <c r="D88" s="57">
        <v>0</v>
      </c>
      <c r="E88" s="57">
        <v>1</v>
      </c>
      <c r="F88" s="57">
        <v>0</v>
      </c>
      <c r="G88" s="57">
        <v>1</v>
      </c>
      <c r="H88" s="57">
        <v>0</v>
      </c>
      <c r="I88" s="57">
        <v>1</v>
      </c>
      <c r="J88" s="58">
        <f t="shared" si="7"/>
        <v>0</v>
      </c>
      <c r="K88" s="57">
        <f t="shared" si="7"/>
        <v>64</v>
      </c>
      <c r="L88" s="57">
        <f t="shared" si="7"/>
        <v>0</v>
      </c>
      <c r="M88" s="57">
        <f t="shared" ref="M88:Q144" si="10">IF(E88=1,E$2,0)</f>
        <v>16</v>
      </c>
      <c r="N88" s="57">
        <f t="shared" si="10"/>
        <v>0</v>
      </c>
      <c r="O88" s="57">
        <f t="shared" si="10"/>
        <v>4</v>
      </c>
      <c r="P88" s="57">
        <f t="shared" si="10"/>
        <v>0</v>
      </c>
      <c r="Q88" s="57">
        <f t="shared" si="6"/>
        <v>1</v>
      </c>
      <c r="R88" s="54">
        <f t="shared" si="8"/>
        <v>85</v>
      </c>
    </row>
    <row r="89" spans="1:18" x14ac:dyDescent="0.2">
      <c r="A89" s="50">
        <f t="shared" si="9"/>
        <v>86</v>
      </c>
      <c r="B89" s="57">
        <v>0</v>
      </c>
      <c r="C89" s="57">
        <v>1</v>
      </c>
      <c r="D89" s="57">
        <v>0</v>
      </c>
      <c r="E89" s="57">
        <v>1</v>
      </c>
      <c r="F89" s="57">
        <v>0</v>
      </c>
      <c r="G89" s="57">
        <v>1</v>
      </c>
      <c r="H89" s="57">
        <v>1</v>
      </c>
      <c r="I89" s="57">
        <v>0</v>
      </c>
      <c r="J89" s="58">
        <f t="shared" ref="J89:N152" si="11">IF(B89=1,B$2,0)</f>
        <v>0</v>
      </c>
      <c r="K89" s="57">
        <f t="shared" si="11"/>
        <v>64</v>
      </c>
      <c r="L89" s="57">
        <f t="shared" si="11"/>
        <v>0</v>
      </c>
      <c r="M89" s="57">
        <f t="shared" si="10"/>
        <v>16</v>
      </c>
      <c r="N89" s="57">
        <f t="shared" si="10"/>
        <v>0</v>
      </c>
      <c r="O89" s="57">
        <f t="shared" si="10"/>
        <v>4</v>
      </c>
      <c r="P89" s="57">
        <f t="shared" si="10"/>
        <v>2</v>
      </c>
      <c r="Q89" s="57">
        <f t="shared" si="6"/>
        <v>0</v>
      </c>
      <c r="R89" s="54">
        <f t="shared" si="8"/>
        <v>86</v>
      </c>
    </row>
    <row r="90" spans="1:18" x14ac:dyDescent="0.2">
      <c r="A90" s="50">
        <f t="shared" si="9"/>
        <v>87</v>
      </c>
      <c r="B90" s="57">
        <v>0</v>
      </c>
      <c r="C90" s="57">
        <v>1</v>
      </c>
      <c r="D90" s="57">
        <v>0</v>
      </c>
      <c r="E90" s="57">
        <v>1</v>
      </c>
      <c r="F90" s="57">
        <v>0</v>
      </c>
      <c r="G90" s="57">
        <v>1</v>
      </c>
      <c r="H90" s="57">
        <v>1</v>
      </c>
      <c r="I90" s="57">
        <v>1</v>
      </c>
      <c r="J90" s="58">
        <f t="shared" si="11"/>
        <v>0</v>
      </c>
      <c r="K90" s="57">
        <f t="shared" si="11"/>
        <v>64</v>
      </c>
      <c r="L90" s="57">
        <f t="shared" si="11"/>
        <v>0</v>
      </c>
      <c r="M90" s="57">
        <f t="shared" si="10"/>
        <v>16</v>
      </c>
      <c r="N90" s="57">
        <f t="shared" si="10"/>
        <v>0</v>
      </c>
      <c r="O90" s="57">
        <f t="shared" si="10"/>
        <v>4</v>
      </c>
      <c r="P90" s="57">
        <f t="shared" si="10"/>
        <v>2</v>
      </c>
      <c r="Q90" s="57">
        <f t="shared" si="6"/>
        <v>1</v>
      </c>
      <c r="R90" s="54">
        <f t="shared" si="8"/>
        <v>87</v>
      </c>
    </row>
    <row r="91" spans="1:18" x14ac:dyDescent="0.2">
      <c r="A91" s="50">
        <f t="shared" si="9"/>
        <v>88</v>
      </c>
      <c r="B91" s="57">
        <v>0</v>
      </c>
      <c r="C91" s="57">
        <v>1</v>
      </c>
      <c r="D91" s="57">
        <v>0</v>
      </c>
      <c r="E91" s="57">
        <v>1</v>
      </c>
      <c r="F91" s="57">
        <v>1</v>
      </c>
      <c r="G91" s="57">
        <v>0</v>
      </c>
      <c r="H91" s="57">
        <v>0</v>
      </c>
      <c r="I91" s="57">
        <v>0</v>
      </c>
      <c r="J91" s="58">
        <f t="shared" si="11"/>
        <v>0</v>
      </c>
      <c r="K91" s="57">
        <f t="shared" si="11"/>
        <v>64</v>
      </c>
      <c r="L91" s="57">
        <f t="shared" si="11"/>
        <v>0</v>
      </c>
      <c r="M91" s="57">
        <f t="shared" si="10"/>
        <v>16</v>
      </c>
      <c r="N91" s="57">
        <f t="shared" si="10"/>
        <v>8</v>
      </c>
      <c r="O91" s="57">
        <f t="shared" si="10"/>
        <v>0</v>
      </c>
      <c r="P91" s="57">
        <f t="shared" si="10"/>
        <v>0</v>
      </c>
      <c r="Q91" s="57">
        <f t="shared" si="6"/>
        <v>0</v>
      </c>
      <c r="R91" s="54">
        <f t="shared" si="8"/>
        <v>88</v>
      </c>
    </row>
    <row r="92" spans="1:18" x14ac:dyDescent="0.2">
      <c r="A92" s="50">
        <f t="shared" si="9"/>
        <v>89</v>
      </c>
      <c r="B92" s="57">
        <v>0</v>
      </c>
      <c r="C92" s="57">
        <v>1</v>
      </c>
      <c r="D92" s="57">
        <v>0</v>
      </c>
      <c r="E92" s="57">
        <v>1</v>
      </c>
      <c r="F92" s="57">
        <v>1</v>
      </c>
      <c r="G92" s="57">
        <v>0</v>
      </c>
      <c r="H92" s="57">
        <v>0</v>
      </c>
      <c r="I92" s="57">
        <v>1</v>
      </c>
      <c r="J92" s="58">
        <f t="shared" si="11"/>
        <v>0</v>
      </c>
      <c r="K92" s="57">
        <f t="shared" si="11"/>
        <v>64</v>
      </c>
      <c r="L92" s="57">
        <f t="shared" si="11"/>
        <v>0</v>
      </c>
      <c r="M92" s="57">
        <f t="shared" si="10"/>
        <v>16</v>
      </c>
      <c r="N92" s="57">
        <f t="shared" si="10"/>
        <v>8</v>
      </c>
      <c r="O92" s="57">
        <f t="shared" si="10"/>
        <v>0</v>
      </c>
      <c r="P92" s="57">
        <f t="shared" si="10"/>
        <v>0</v>
      </c>
      <c r="Q92" s="57">
        <f t="shared" si="6"/>
        <v>1</v>
      </c>
      <c r="R92" s="54">
        <f t="shared" si="8"/>
        <v>89</v>
      </c>
    </row>
    <row r="93" spans="1:18" x14ac:dyDescent="0.2">
      <c r="A93" s="50">
        <f t="shared" si="9"/>
        <v>90</v>
      </c>
      <c r="B93" s="57">
        <v>0</v>
      </c>
      <c r="C93" s="57">
        <v>1</v>
      </c>
      <c r="D93" s="57">
        <v>0</v>
      </c>
      <c r="E93" s="57">
        <v>1</v>
      </c>
      <c r="F93" s="57">
        <v>1</v>
      </c>
      <c r="G93" s="57">
        <v>0</v>
      </c>
      <c r="H93" s="57">
        <v>1</v>
      </c>
      <c r="I93" s="57">
        <v>0</v>
      </c>
      <c r="J93" s="58">
        <f t="shared" si="11"/>
        <v>0</v>
      </c>
      <c r="K93" s="57">
        <f t="shared" si="11"/>
        <v>64</v>
      </c>
      <c r="L93" s="57">
        <f t="shared" si="11"/>
        <v>0</v>
      </c>
      <c r="M93" s="57">
        <f t="shared" si="10"/>
        <v>16</v>
      </c>
      <c r="N93" s="57">
        <f t="shared" si="10"/>
        <v>8</v>
      </c>
      <c r="O93" s="57">
        <f t="shared" si="10"/>
        <v>0</v>
      </c>
      <c r="P93" s="57">
        <f t="shared" si="10"/>
        <v>2</v>
      </c>
      <c r="Q93" s="57">
        <f t="shared" si="6"/>
        <v>0</v>
      </c>
      <c r="R93" s="54">
        <f t="shared" si="8"/>
        <v>90</v>
      </c>
    </row>
    <row r="94" spans="1:18" x14ac:dyDescent="0.2">
      <c r="A94" s="50">
        <f t="shared" si="9"/>
        <v>91</v>
      </c>
      <c r="B94" s="57">
        <v>0</v>
      </c>
      <c r="C94" s="57">
        <v>1</v>
      </c>
      <c r="D94" s="57">
        <v>0</v>
      </c>
      <c r="E94" s="57">
        <v>1</v>
      </c>
      <c r="F94" s="57">
        <v>1</v>
      </c>
      <c r="G94" s="57">
        <v>0</v>
      </c>
      <c r="H94" s="57">
        <v>1</v>
      </c>
      <c r="I94" s="57">
        <v>1</v>
      </c>
      <c r="J94" s="58">
        <f t="shared" si="11"/>
        <v>0</v>
      </c>
      <c r="K94" s="57">
        <f t="shared" si="11"/>
        <v>64</v>
      </c>
      <c r="L94" s="57">
        <f t="shared" si="11"/>
        <v>0</v>
      </c>
      <c r="M94" s="57">
        <f t="shared" si="10"/>
        <v>16</v>
      </c>
      <c r="N94" s="57">
        <f t="shared" si="10"/>
        <v>8</v>
      </c>
      <c r="O94" s="57">
        <f t="shared" si="10"/>
        <v>0</v>
      </c>
      <c r="P94" s="57">
        <f t="shared" si="10"/>
        <v>2</v>
      </c>
      <c r="Q94" s="57">
        <f t="shared" si="6"/>
        <v>1</v>
      </c>
      <c r="R94" s="54">
        <f t="shared" si="8"/>
        <v>91</v>
      </c>
    </row>
    <row r="95" spans="1:18" x14ac:dyDescent="0.2">
      <c r="A95" s="50">
        <f t="shared" si="9"/>
        <v>92</v>
      </c>
      <c r="B95" s="57">
        <v>0</v>
      </c>
      <c r="C95" s="57">
        <v>1</v>
      </c>
      <c r="D95" s="57">
        <v>0</v>
      </c>
      <c r="E95" s="57">
        <v>1</v>
      </c>
      <c r="F95" s="57">
        <v>1</v>
      </c>
      <c r="G95" s="57">
        <v>1</v>
      </c>
      <c r="H95" s="57">
        <v>0</v>
      </c>
      <c r="I95" s="57">
        <v>0</v>
      </c>
      <c r="J95" s="58">
        <f t="shared" si="11"/>
        <v>0</v>
      </c>
      <c r="K95" s="57">
        <f t="shared" si="11"/>
        <v>64</v>
      </c>
      <c r="L95" s="57">
        <f t="shared" si="11"/>
        <v>0</v>
      </c>
      <c r="M95" s="57">
        <f t="shared" si="10"/>
        <v>16</v>
      </c>
      <c r="N95" s="57">
        <f t="shared" si="10"/>
        <v>8</v>
      </c>
      <c r="O95" s="57">
        <f t="shared" si="10"/>
        <v>4</v>
      </c>
      <c r="P95" s="57">
        <f t="shared" si="10"/>
        <v>0</v>
      </c>
      <c r="Q95" s="57">
        <f t="shared" si="6"/>
        <v>0</v>
      </c>
      <c r="R95" s="54">
        <f t="shared" si="8"/>
        <v>92</v>
      </c>
    </row>
    <row r="96" spans="1:18" x14ac:dyDescent="0.2">
      <c r="A96" s="50">
        <f t="shared" si="9"/>
        <v>93</v>
      </c>
      <c r="B96" s="57">
        <v>0</v>
      </c>
      <c r="C96" s="57">
        <v>1</v>
      </c>
      <c r="D96" s="57">
        <v>0</v>
      </c>
      <c r="E96" s="57">
        <v>1</v>
      </c>
      <c r="F96" s="57">
        <v>1</v>
      </c>
      <c r="G96" s="57">
        <v>1</v>
      </c>
      <c r="H96" s="57">
        <v>0</v>
      </c>
      <c r="I96" s="57">
        <v>1</v>
      </c>
      <c r="J96" s="58">
        <f t="shared" si="11"/>
        <v>0</v>
      </c>
      <c r="K96" s="57">
        <f t="shared" si="11"/>
        <v>64</v>
      </c>
      <c r="L96" s="57">
        <f t="shared" si="11"/>
        <v>0</v>
      </c>
      <c r="M96" s="57">
        <f t="shared" si="10"/>
        <v>16</v>
      </c>
      <c r="N96" s="57">
        <f t="shared" si="10"/>
        <v>8</v>
      </c>
      <c r="O96" s="57">
        <f t="shared" si="10"/>
        <v>4</v>
      </c>
      <c r="P96" s="57">
        <f t="shared" si="10"/>
        <v>0</v>
      </c>
      <c r="Q96" s="57">
        <f t="shared" si="6"/>
        <v>1</v>
      </c>
      <c r="R96" s="54">
        <f t="shared" si="8"/>
        <v>93</v>
      </c>
    </row>
    <row r="97" spans="1:18" x14ac:dyDescent="0.2">
      <c r="A97" s="50">
        <f t="shared" si="9"/>
        <v>94</v>
      </c>
      <c r="B97" s="57">
        <v>0</v>
      </c>
      <c r="C97" s="57">
        <v>1</v>
      </c>
      <c r="D97" s="57">
        <v>0</v>
      </c>
      <c r="E97" s="57">
        <v>1</v>
      </c>
      <c r="F97" s="57">
        <v>1</v>
      </c>
      <c r="G97" s="57">
        <v>1</v>
      </c>
      <c r="H97" s="57">
        <v>1</v>
      </c>
      <c r="I97" s="57">
        <v>0</v>
      </c>
      <c r="J97" s="58">
        <f t="shared" si="11"/>
        <v>0</v>
      </c>
      <c r="K97" s="57">
        <f t="shared" si="11"/>
        <v>64</v>
      </c>
      <c r="L97" s="57">
        <f t="shared" si="11"/>
        <v>0</v>
      </c>
      <c r="M97" s="57">
        <f t="shared" si="10"/>
        <v>16</v>
      </c>
      <c r="N97" s="57">
        <f t="shared" si="10"/>
        <v>8</v>
      </c>
      <c r="O97" s="57">
        <f t="shared" si="10"/>
        <v>4</v>
      </c>
      <c r="P97" s="57">
        <f t="shared" si="10"/>
        <v>2</v>
      </c>
      <c r="Q97" s="57">
        <f t="shared" si="6"/>
        <v>0</v>
      </c>
      <c r="R97" s="54">
        <f t="shared" si="8"/>
        <v>94</v>
      </c>
    </row>
    <row r="98" spans="1:18" x14ac:dyDescent="0.2">
      <c r="A98" s="50">
        <f t="shared" si="9"/>
        <v>95</v>
      </c>
      <c r="B98" s="57">
        <v>0</v>
      </c>
      <c r="C98" s="57">
        <v>1</v>
      </c>
      <c r="D98" s="57">
        <v>0</v>
      </c>
      <c r="E98" s="57">
        <v>1</v>
      </c>
      <c r="F98" s="57">
        <v>1</v>
      </c>
      <c r="G98" s="57">
        <v>1</v>
      </c>
      <c r="H98" s="57">
        <v>1</v>
      </c>
      <c r="I98" s="57">
        <v>1</v>
      </c>
      <c r="J98" s="58">
        <f t="shared" si="11"/>
        <v>0</v>
      </c>
      <c r="K98" s="57">
        <f t="shared" si="11"/>
        <v>64</v>
      </c>
      <c r="L98" s="57">
        <f t="shared" si="11"/>
        <v>0</v>
      </c>
      <c r="M98" s="57">
        <f t="shared" si="10"/>
        <v>16</v>
      </c>
      <c r="N98" s="57">
        <f t="shared" si="10"/>
        <v>8</v>
      </c>
      <c r="O98" s="57">
        <f t="shared" si="10"/>
        <v>4</v>
      </c>
      <c r="P98" s="57">
        <f t="shared" si="10"/>
        <v>2</v>
      </c>
      <c r="Q98" s="57">
        <f t="shared" si="6"/>
        <v>1</v>
      </c>
      <c r="R98" s="54">
        <f t="shared" si="8"/>
        <v>95</v>
      </c>
    </row>
    <row r="99" spans="1:18" x14ac:dyDescent="0.2">
      <c r="A99" s="50">
        <f t="shared" si="9"/>
        <v>96</v>
      </c>
      <c r="B99" s="57">
        <v>0</v>
      </c>
      <c r="C99" s="57">
        <v>1</v>
      </c>
      <c r="D99" s="57">
        <v>1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8">
        <f t="shared" si="11"/>
        <v>0</v>
      </c>
      <c r="K99" s="57">
        <f t="shared" si="11"/>
        <v>64</v>
      </c>
      <c r="L99" s="57">
        <f t="shared" si="11"/>
        <v>32</v>
      </c>
      <c r="M99" s="57">
        <f t="shared" si="10"/>
        <v>0</v>
      </c>
      <c r="N99" s="57">
        <f t="shared" si="10"/>
        <v>0</v>
      </c>
      <c r="O99" s="57">
        <f t="shared" si="10"/>
        <v>0</v>
      </c>
      <c r="P99" s="57">
        <f t="shared" si="10"/>
        <v>0</v>
      </c>
      <c r="Q99" s="57">
        <f t="shared" si="6"/>
        <v>0</v>
      </c>
      <c r="R99" s="54">
        <f t="shared" si="8"/>
        <v>96</v>
      </c>
    </row>
    <row r="100" spans="1:18" x14ac:dyDescent="0.2">
      <c r="A100" s="50">
        <f t="shared" si="9"/>
        <v>97</v>
      </c>
      <c r="B100" s="57">
        <v>0</v>
      </c>
      <c r="C100" s="57">
        <v>1</v>
      </c>
      <c r="D100" s="57">
        <v>1</v>
      </c>
      <c r="E100" s="57">
        <v>0</v>
      </c>
      <c r="F100" s="57">
        <v>0</v>
      </c>
      <c r="G100" s="57">
        <v>0</v>
      </c>
      <c r="H100" s="57">
        <v>0</v>
      </c>
      <c r="I100" s="57">
        <v>1</v>
      </c>
      <c r="J100" s="58">
        <f t="shared" si="11"/>
        <v>0</v>
      </c>
      <c r="K100" s="57">
        <f t="shared" si="11"/>
        <v>64</v>
      </c>
      <c r="L100" s="57">
        <f t="shared" si="11"/>
        <v>32</v>
      </c>
      <c r="M100" s="57">
        <f t="shared" si="10"/>
        <v>0</v>
      </c>
      <c r="N100" s="57">
        <f t="shared" si="10"/>
        <v>0</v>
      </c>
      <c r="O100" s="57">
        <f t="shared" si="10"/>
        <v>0</v>
      </c>
      <c r="P100" s="57">
        <f t="shared" si="10"/>
        <v>0</v>
      </c>
      <c r="Q100" s="57">
        <f t="shared" si="6"/>
        <v>1</v>
      </c>
      <c r="R100" s="54">
        <f t="shared" si="8"/>
        <v>97</v>
      </c>
    </row>
    <row r="101" spans="1:18" x14ac:dyDescent="0.2">
      <c r="A101" s="50">
        <f t="shared" si="9"/>
        <v>98</v>
      </c>
      <c r="B101" s="57">
        <v>0</v>
      </c>
      <c r="C101" s="57">
        <v>1</v>
      </c>
      <c r="D101" s="57">
        <v>1</v>
      </c>
      <c r="E101" s="57">
        <v>0</v>
      </c>
      <c r="F101" s="57">
        <v>0</v>
      </c>
      <c r="G101" s="57">
        <v>0</v>
      </c>
      <c r="H101" s="57">
        <v>1</v>
      </c>
      <c r="I101" s="57">
        <v>0</v>
      </c>
      <c r="J101" s="58">
        <f t="shared" si="11"/>
        <v>0</v>
      </c>
      <c r="K101" s="57">
        <f t="shared" si="11"/>
        <v>64</v>
      </c>
      <c r="L101" s="57">
        <f t="shared" si="11"/>
        <v>32</v>
      </c>
      <c r="M101" s="57">
        <f t="shared" si="10"/>
        <v>0</v>
      </c>
      <c r="N101" s="57">
        <f t="shared" si="10"/>
        <v>0</v>
      </c>
      <c r="O101" s="57">
        <f t="shared" si="10"/>
        <v>0</v>
      </c>
      <c r="P101" s="57">
        <f t="shared" si="10"/>
        <v>2</v>
      </c>
      <c r="Q101" s="57">
        <f t="shared" si="6"/>
        <v>0</v>
      </c>
      <c r="R101" s="54">
        <f t="shared" si="8"/>
        <v>98</v>
      </c>
    </row>
    <row r="102" spans="1:18" x14ac:dyDescent="0.2">
      <c r="A102" s="50">
        <f t="shared" si="9"/>
        <v>99</v>
      </c>
      <c r="B102" s="57">
        <v>0</v>
      </c>
      <c r="C102" s="57">
        <v>1</v>
      </c>
      <c r="D102" s="57">
        <v>1</v>
      </c>
      <c r="E102" s="57">
        <v>0</v>
      </c>
      <c r="F102" s="57">
        <v>0</v>
      </c>
      <c r="G102" s="57">
        <v>0</v>
      </c>
      <c r="H102" s="57">
        <v>1</v>
      </c>
      <c r="I102" s="57">
        <v>1</v>
      </c>
      <c r="J102" s="58">
        <f t="shared" si="11"/>
        <v>0</v>
      </c>
      <c r="K102" s="57">
        <f t="shared" si="11"/>
        <v>64</v>
      </c>
      <c r="L102" s="57">
        <f t="shared" si="11"/>
        <v>32</v>
      </c>
      <c r="M102" s="57">
        <f t="shared" si="10"/>
        <v>0</v>
      </c>
      <c r="N102" s="57">
        <f t="shared" si="10"/>
        <v>0</v>
      </c>
      <c r="O102" s="57">
        <f t="shared" si="10"/>
        <v>0</v>
      </c>
      <c r="P102" s="57">
        <f t="shared" si="10"/>
        <v>2</v>
      </c>
      <c r="Q102" s="57">
        <f t="shared" si="6"/>
        <v>1</v>
      </c>
      <c r="R102" s="54">
        <f t="shared" si="8"/>
        <v>99</v>
      </c>
    </row>
    <row r="103" spans="1:18" x14ac:dyDescent="0.2">
      <c r="A103" s="50">
        <f t="shared" si="9"/>
        <v>100</v>
      </c>
      <c r="B103" s="57">
        <v>0</v>
      </c>
      <c r="C103" s="57">
        <v>1</v>
      </c>
      <c r="D103" s="57">
        <v>1</v>
      </c>
      <c r="E103" s="57">
        <v>0</v>
      </c>
      <c r="F103" s="57">
        <v>0</v>
      </c>
      <c r="G103" s="57">
        <v>1</v>
      </c>
      <c r="H103" s="57">
        <v>0</v>
      </c>
      <c r="I103" s="57">
        <v>0</v>
      </c>
      <c r="J103" s="58">
        <f t="shared" si="11"/>
        <v>0</v>
      </c>
      <c r="K103" s="57">
        <f t="shared" si="11"/>
        <v>64</v>
      </c>
      <c r="L103" s="57">
        <f t="shared" si="11"/>
        <v>32</v>
      </c>
      <c r="M103" s="57">
        <f t="shared" si="10"/>
        <v>0</v>
      </c>
      <c r="N103" s="57">
        <f t="shared" si="10"/>
        <v>0</v>
      </c>
      <c r="O103" s="57">
        <f t="shared" si="10"/>
        <v>4</v>
      </c>
      <c r="P103" s="57">
        <f t="shared" si="10"/>
        <v>0</v>
      </c>
      <c r="Q103" s="57">
        <f t="shared" si="6"/>
        <v>0</v>
      </c>
      <c r="R103" s="54">
        <f t="shared" si="8"/>
        <v>100</v>
      </c>
    </row>
    <row r="104" spans="1:18" x14ac:dyDescent="0.2">
      <c r="A104" s="50">
        <f t="shared" si="9"/>
        <v>101</v>
      </c>
      <c r="B104" s="57">
        <v>0</v>
      </c>
      <c r="C104" s="57">
        <v>1</v>
      </c>
      <c r="D104" s="57">
        <v>1</v>
      </c>
      <c r="E104" s="57">
        <v>0</v>
      </c>
      <c r="F104" s="57">
        <v>0</v>
      </c>
      <c r="G104" s="57">
        <v>1</v>
      </c>
      <c r="H104" s="57">
        <v>0</v>
      </c>
      <c r="I104" s="57">
        <v>1</v>
      </c>
      <c r="J104" s="58">
        <f t="shared" si="11"/>
        <v>0</v>
      </c>
      <c r="K104" s="57">
        <f t="shared" si="11"/>
        <v>64</v>
      </c>
      <c r="L104" s="57">
        <f t="shared" si="11"/>
        <v>32</v>
      </c>
      <c r="M104" s="57">
        <f t="shared" si="10"/>
        <v>0</v>
      </c>
      <c r="N104" s="57">
        <f t="shared" si="10"/>
        <v>0</v>
      </c>
      <c r="O104" s="57">
        <f t="shared" si="10"/>
        <v>4</v>
      </c>
      <c r="P104" s="57">
        <f t="shared" si="10"/>
        <v>0</v>
      </c>
      <c r="Q104" s="57">
        <f t="shared" si="6"/>
        <v>1</v>
      </c>
      <c r="R104" s="54">
        <f t="shared" si="8"/>
        <v>101</v>
      </c>
    </row>
    <row r="105" spans="1:18" x14ac:dyDescent="0.2">
      <c r="A105" s="50">
        <f t="shared" si="9"/>
        <v>102</v>
      </c>
      <c r="B105" s="57">
        <v>0</v>
      </c>
      <c r="C105" s="57">
        <v>1</v>
      </c>
      <c r="D105" s="57">
        <v>1</v>
      </c>
      <c r="E105" s="57">
        <v>0</v>
      </c>
      <c r="F105" s="57">
        <v>0</v>
      </c>
      <c r="G105" s="57">
        <v>1</v>
      </c>
      <c r="H105" s="57">
        <v>1</v>
      </c>
      <c r="I105" s="57">
        <v>0</v>
      </c>
      <c r="J105" s="58">
        <f t="shared" si="11"/>
        <v>0</v>
      </c>
      <c r="K105" s="57">
        <f t="shared" si="11"/>
        <v>64</v>
      </c>
      <c r="L105" s="57">
        <f t="shared" si="11"/>
        <v>32</v>
      </c>
      <c r="M105" s="57">
        <f t="shared" si="10"/>
        <v>0</v>
      </c>
      <c r="N105" s="57">
        <f t="shared" si="10"/>
        <v>0</v>
      </c>
      <c r="O105" s="57">
        <f t="shared" si="10"/>
        <v>4</v>
      </c>
      <c r="P105" s="57">
        <f t="shared" si="10"/>
        <v>2</v>
      </c>
      <c r="Q105" s="57">
        <f t="shared" si="6"/>
        <v>0</v>
      </c>
      <c r="R105" s="54">
        <f t="shared" si="8"/>
        <v>102</v>
      </c>
    </row>
    <row r="106" spans="1:18" x14ac:dyDescent="0.2">
      <c r="A106" s="50">
        <f t="shared" si="9"/>
        <v>103</v>
      </c>
      <c r="B106" s="57">
        <v>0</v>
      </c>
      <c r="C106" s="57">
        <v>1</v>
      </c>
      <c r="D106" s="57">
        <v>1</v>
      </c>
      <c r="E106" s="57">
        <v>0</v>
      </c>
      <c r="F106" s="57">
        <v>0</v>
      </c>
      <c r="G106" s="57">
        <v>1</v>
      </c>
      <c r="H106" s="57">
        <v>1</v>
      </c>
      <c r="I106" s="57">
        <v>1</v>
      </c>
      <c r="J106" s="58">
        <f t="shared" si="11"/>
        <v>0</v>
      </c>
      <c r="K106" s="57">
        <f t="shared" si="11"/>
        <v>64</v>
      </c>
      <c r="L106" s="57">
        <f t="shared" si="11"/>
        <v>32</v>
      </c>
      <c r="M106" s="57">
        <f t="shared" si="10"/>
        <v>0</v>
      </c>
      <c r="N106" s="57">
        <f t="shared" si="10"/>
        <v>0</v>
      </c>
      <c r="O106" s="57">
        <f t="shared" si="10"/>
        <v>4</v>
      </c>
      <c r="P106" s="57">
        <f t="shared" si="10"/>
        <v>2</v>
      </c>
      <c r="Q106" s="57">
        <f t="shared" si="6"/>
        <v>1</v>
      </c>
      <c r="R106" s="54">
        <f t="shared" si="8"/>
        <v>103</v>
      </c>
    </row>
    <row r="107" spans="1:18" x14ac:dyDescent="0.2">
      <c r="A107" s="50">
        <f t="shared" si="9"/>
        <v>104</v>
      </c>
      <c r="B107" s="51">
        <v>0</v>
      </c>
      <c r="C107" s="57">
        <v>1</v>
      </c>
      <c r="D107" s="57">
        <v>1</v>
      </c>
      <c r="E107" s="57">
        <v>0</v>
      </c>
      <c r="F107" s="57">
        <v>1</v>
      </c>
      <c r="G107" s="57">
        <v>0</v>
      </c>
      <c r="H107" s="57">
        <v>0</v>
      </c>
      <c r="I107" s="57">
        <v>0</v>
      </c>
      <c r="J107" s="58">
        <f t="shared" si="11"/>
        <v>0</v>
      </c>
      <c r="K107" s="57">
        <f t="shared" si="11"/>
        <v>64</v>
      </c>
      <c r="L107" s="57">
        <f t="shared" si="11"/>
        <v>32</v>
      </c>
      <c r="M107" s="57">
        <f t="shared" si="10"/>
        <v>0</v>
      </c>
      <c r="N107" s="57">
        <f t="shared" si="10"/>
        <v>8</v>
      </c>
      <c r="O107" s="57">
        <f t="shared" si="10"/>
        <v>0</v>
      </c>
      <c r="P107" s="57">
        <f t="shared" si="10"/>
        <v>0</v>
      </c>
      <c r="Q107" s="57">
        <f t="shared" si="6"/>
        <v>0</v>
      </c>
      <c r="R107" s="54">
        <f t="shared" si="8"/>
        <v>104</v>
      </c>
    </row>
    <row r="108" spans="1:18" x14ac:dyDescent="0.2">
      <c r="A108" s="50">
        <f t="shared" si="9"/>
        <v>105</v>
      </c>
      <c r="B108" s="57">
        <v>0</v>
      </c>
      <c r="C108" s="57">
        <v>1</v>
      </c>
      <c r="D108" s="57">
        <v>1</v>
      </c>
      <c r="E108" s="57">
        <v>0</v>
      </c>
      <c r="F108" s="57">
        <v>1</v>
      </c>
      <c r="G108" s="57">
        <v>0</v>
      </c>
      <c r="H108" s="57">
        <v>0</v>
      </c>
      <c r="I108" s="57">
        <v>1</v>
      </c>
      <c r="J108" s="58">
        <f t="shared" si="11"/>
        <v>0</v>
      </c>
      <c r="K108" s="57">
        <f t="shared" si="11"/>
        <v>64</v>
      </c>
      <c r="L108" s="57">
        <f t="shared" si="11"/>
        <v>32</v>
      </c>
      <c r="M108" s="57">
        <f t="shared" si="10"/>
        <v>0</v>
      </c>
      <c r="N108" s="57">
        <f t="shared" si="10"/>
        <v>8</v>
      </c>
      <c r="O108" s="57">
        <f t="shared" si="10"/>
        <v>0</v>
      </c>
      <c r="P108" s="57">
        <f t="shared" si="10"/>
        <v>0</v>
      </c>
      <c r="Q108" s="57">
        <f t="shared" si="6"/>
        <v>1</v>
      </c>
      <c r="R108" s="54">
        <f t="shared" si="8"/>
        <v>105</v>
      </c>
    </row>
    <row r="109" spans="1:18" x14ac:dyDescent="0.2">
      <c r="A109" s="50">
        <f t="shared" si="9"/>
        <v>106</v>
      </c>
      <c r="B109" s="57">
        <v>0</v>
      </c>
      <c r="C109" s="57">
        <v>1</v>
      </c>
      <c r="D109" s="57">
        <v>1</v>
      </c>
      <c r="E109" s="57">
        <v>0</v>
      </c>
      <c r="F109" s="57">
        <v>1</v>
      </c>
      <c r="G109" s="57">
        <v>0</v>
      </c>
      <c r="H109" s="57">
        <v>1</v>
      </c>
      <c r="I109" s="57">
        <v>0</v>
      </c>
      <c r="J109" s="58">
        <f t="shared" si="11"/>
        <v>0</v>
      </c>
      <c r="K109" s="57">
        <f t="shared" si="11"/>
        <v>64</v>
      </c>
      <c r="L109" s="57">
        <f t="shared" si="11"/>
        <v>32</v>
      </c>
      <c r="M109" s="57">
        <f t="shared" si="10"/>
        <v>0</v>
      </c>
      <c r="N109" s="57">
        <f t="shared" si="10"/>
        <v>8</v>
      </c>
      <c r="O109" s="57">
        <f t="shared" si="10"/>
        <v>0</v>
      </c>
      <c r="P109" s="57">
        <f t="shared" si="10"/>
        <v>2</v>
      </c>
      <c r="Q109" s="57">
        <f t="shared" si="6"/>
        <v>0</v>
      </c>
      <c r="R109" s="54">
        <f t="shared" si="8"/>
        <v>106</v>
      </c>
    </row>
    <row r="110" spans="1:18" x14ac:dyDescent="0.2">
      <c r="A110" s="50">
        <f t="shared" si="9"/>
        <v>107</v>
      </c>
      <c r="B110" s="57">
        <v>0</v>
      </c>
      <c r="C110" s="57">
        <v>1</v>
      </c>
      <c r="D110" s="57">
        <v>1</v>
      </c>
      <c r="E110" s="57">
        <v>0</v>
      </c>
      <c r="F110" s="57">
        <v>1</v>
      </c>
      <c r="G110" s="57">
        <v>0</v>
      </c>
      <c r="H110" s="57">
        <v>1</v>
      </c>
      <c r="I110" s="57">
        <v>1</v>
      </c>
      <c r="J110" s="58">
        <f t="shared" si="11"/>
        <v>0</v>
      </c>
      <c r="K110" s="57">
        <f t="shared" si="11"/>
        <v>64</v>
      </c>
      <c r="L110" s="57">
        <f t="shared" si="11"/>
        <v>32</v>
      </c>
      <c r="M110" s="57">
        <f t="shared" si="10"/>
        <v>0</v>
      </c>
      <c r="N110" s="57">
        <f t="shared" si="10"/>
        <v>8</v>
      </c>
      <c r="O110" s="57">
        <f t="shared" si="10"/>
        <v>0</v>
      </c>
      <c r="P110" s="57">
        <f t="shared" si="10"/>
        <v>2</v>
      </c>
      <c r="Q110" s="57">
        <f t="shared" si="6"/>
        <v>1</v>
      </c>
      <c r="R110" s="54">
        <f t="shared" si="8"/>
        <v>107</v>
      </c>
    </row>
    <row r="111" spans="1:18" x14ac:dyDescent="0.2">
      <c r="A111" s="50">
        <f t="shared" si="9"/>
        <v>108</v>
      </c>
      <c r="B111" s="57">
        <v>0</v>
      </c>
      <c r="C111" s="57">
        <v>1</v>
      </c>
      <c r="D111" s="57">
        <v>1</v>
      </c>
      <c r="E111" s="57">
        <v>0</v>
      </c>
      <c r="F111" s="57">
        <v>1</v>
      </c>
      <c r="G111" s="57">
        <v>1</v>
      </c>
      <c r="H111" s="57">
        <v>0</v>
      </c>
      <c r="I111" s="57">
        <v>0</v>
      </c>
      <c r="J111" s="58">
        <f t="shared" si="11"/>
        <v>0</v>
      </c>
      <c r="K111" s="57">
        <f t="shared" si="11"/>
        <v>64</v>
      </c>
      <c r="L111" s="57">
        <f t="shared" si="11"/>
        <v>32</v>
      </c>
      <c r="M111" s="57">
        <f t="shared" si="10"/>
        <v>0</v>
      </c>
      <c r="N111" s="57">
        <f t="shared" si="10"/>
        <v>8</v>
      </c>
      <c r="O111" s="57">
        <f t="shared" si="10"/>
        <v>4</v>
      </c>
      <c r="P111" s="57">
        <f t="shared" si="10"/>
        <v>0</v>
      </c>
      <c r="Q111" s="57">
        <f t="shared" si="6"/>
        <v>0</v>
      </c>
      <c r="R111" s="54">
        <f t="shared" si="8"/>
        <v>108</v>
      </c>
    </row>
    <row r="112" spans="1:18" x14ac:dyDescent="0.2">
      <c r="A112" s="50">
        <f t="shared" si="9"/>
        <v>109</v>
      </c>
      <c r="B112" s="57">
        <v>0</v>
      </c>
      <c r="C112" s="57">
        <v>1</v>
      </c>
      <c r="D112" s="57">
        <v>1</v>
      </c>
      <c r="E112" s="57">
        <v>0</v>
      </c>
      <c r="F112" s="57">
        <v>1</v>
      </c>
      <c r="G112" s="57">
        <v>1</v>
      </c>
      <c r="H112" s="57">
        <v>0</v>
      </c>
      <c r="I112" s="57">
        <v>1</v>
      </c>
      <c r="J112" s="58">
        <f t="shared" si="11"/>
        <v>0</v>
      </c>
      <c r="K112" s="57">
        <f t="shared" si="11"/>
        <v>64</v>
      </c>
      <c r="L112" s="57">
        <f t="shared" si="11"/>
        <v>32</v>
      </c>
      <c r="M112" s="57">
        <f t="shared" si="10"/>
        <v>0</v>
      </c>
      <c r="N112" s="57">
        <f t="shared" si="10"/>
        <v>8</v>
      </c>
      <c r="O112" s="57">
        <f t="shared" si="10"/>
        <v>4</v>
      </c>
      <c r="P112" s="57">
        <f t="shared" si="10"/>
        <v>0</v>
      </c>
      <c r="Q112" s="57">
        <f t="shared" si="6"/>
        <v>1</v>
      </c>
      <c r="R112" s="54">
        <f t="shared" si="8"/>
        <v>109</v>
      </c>
    </row>
    <row r="113" spans="1:18" x14ac:dyDescent="0.2">
      <c r="A113" s="50">
        <f t="shared" si="9"/>
        <v>110</v>
      </c>
      <c r="B113" s="57">
        <v>0</v>
      </c>
      <c r="C113" s="57">
        <v>1</v>
      </c>
      <c r="D113" s="57">
        <v>1</v>
      </c>
      <c r="E113" s="57">
        <v>0</v>
      </c>
      <c r="F113" s="57">
        <v>1</v>
      </c>
      <c r="G113" s="57">
        <v>1</v>
      </c>
      <c r="H113" s="57">
        <v>1</v>
      </c>
      <c r="I113" s="57">
        <v>0</v>
      </c>
      <c r="J113" s="58">
        <f t="shared" si="11"/>
        <v>0</v>
      </c>
      <c r="K113" s="57">
        <f t="shared" si="11"/>
        <v>64</v>
      </c>
      <c r="L113" s="57">
        <f t="shared" si="11"/>
        <v>32</v>
      </c>
      <c r="M113" s="57">
        <f t="shared" si="10"/>
        <v>0</v>
      </c>
      <c r="N113" s="57">
        <f t="shared" si="10"/>
        <v>8</v>
      </c>
      <c r="O113" s="57">
        <f t="shared" si="10"/>
        <v>4</v>
      </c>
      <c r="P113" s="57">
        <f t="shared" si="10"/>
        <v>2</v>
      </c>
      <c r="Q113" s="57">
        <f t="shared" si="6"/>
        <v>0</v>
      </c>
      <c r="R113" s="54">
        <f t="shared" si="8"/>
        <v>110</v>
      </c>
    </row>
    <row r="114" spans="1:18" x14ac:dyDescent="0.2">
      <c r="A114" s="50">
        <f t="shared" si="9"/>
        <v>111</v>
      </c>
      <c r="B114" s="57">
        <v>0</v>
      </c>
      <c r="C114" s="57">
        <v>1</v>
      </c>
      <c r="D114" s="57">
        <v>1</v>
      </c>
      <c r="E114" s="57">
        <v>0</v>
      </c>
      <c r="F114" s="57">
        <v>1</v>
      </c>
      <c r="G114" s="57">
        <v>1</v>
      </c>
      <c r="H114" s="57">
        <v>1</v>
      </c>
      <c r="I114" s="57">
        <v>1</v>
      </c>
      <c r="J114" s="58">
        <f t="shared" si="11"/>
        <v>0</v>
      </c>
      <c r="K114" s="57">
        <f t="shared" si="11"/>
        <v>64</v>
      </c>
      <c r="L114" s="57">
        <f t="shared" si="11"/>
        <v>32</v>
      </c>
      <c r="M114" s="57">
        <f t="shared" si="10"/>
        <v>0</v>
      </c>
      <c r="N114" s="57">
        <f t="shared" si="10"/>
        <v>8</v>
      </c>
      <c r="O114" s="57">
        <f t="shared" si="10"/>
        <v>4</v>
      </c>
      <c r="P114" s="57">
        <f t="shared" si="10"/>
        <v>2</v>
      </c>
      <c r="Q114" s="57">
        <f t="shared" si="6"/>
        <v>1</v>
      </c>
      <c r="R114" s="54">
        <f t="shared" si="8"/>
        <v>111</v>
      </c>
    </row>
    <row r="115" spans="1:18" x14ac:dyDescent="0.2">
      <c r="A115" s="50">
        <f t="shared" si="9"/>
        <v>112</v>
      </c>
      <c r="B115" s="57">
        <v>0</v>
      </c>
      <c r="C115" s="57">
        <v>1</v>
      </c>
      <c r="D115" s="57">
        <v>1</v>
      </c>
      <c r="E115" s="57">
        <v>1</v>
      </c>
      <c r="F115" s="57">
        <v>0</v>
      </c>
      <c r="G115" s="57">
        <v>0</v>
      </c>
      <c r="H115" s="57">
        <v>0</v>
      </c>
      <c r="I115" s="57">
        <v>0</v>
      </c>
      <c r="J115" s="58">
        <f t="shared" si="11"/>
        <v>0</v>
      </c>
      <c r="K115" s="57">
        <f t="shared" si="11"/>
        <v>64</v>
      </c>
      <c r="L115" s="57">
        <f t="shared" si="11"/>
        <v>32</v>
      </c>
      <c r="M115" s="57">
        <f t="shared" si="10"/>
        <v>16</v>
      </c>
      <c r="N115" s="57">
        <f t="shared" si="10"/>
        <v>0</v>
      </c>
      <c r="O115" s="57">
        <f t="shared" si="10"/>
        <v>0</v>
      </c>
      <c r="P115" s="57">
        <f t="shared" si="10"/>
        <v>0</v>
      </c>
      <c r="Q115" s="57">
        <f t="shared" si="10"/>
        <v>0</v>
      </c>
      <c r="R115" s="54">
        <f t="shared" si="8"/>
        <v>112</v>
      </c>
    </row>
    <row r="116" spans="1:18" x14ac:dyDescent="0.2">
      <c r="A116" s="50">
        <f t="shared" si="9"/>
        <v>113</v>
      </c>
      <c r="B116" s="57">
        <v>0</v>
      </c>
      <c r="C116" s="57">
        <v>1</v>
      </c>
      <c r="D116" s="57">
        <v>1</v>
      </c>
      <c r="E116" s="57">
        <v>1</v>
      </c>
      <c r="F116" s="57">
        <v>0</v>
      </c>
      <c r="G116" s="57">
        <v>0</v>
      </c>
      <c r="H116" s="57">
        <v>0</v>
      </c>
      <c r="I116" s="57">
        <v>1</v>
      </c>
      <c r="J116" s="58">
        <f t="shared" si="11"/>
        <v>0</v>
      </c>
      <c r="K116" s="57">
        <f t="shared" si="11"/>
        <v>64</v>
      </c>
      <c r="L116" s="57">
        <f t="shared" si="11"/>
        <v>32</v>
      </c>
      <c r="M116" s="57">
        <f t="shared" si="10"/>
        <v>16</v>
      </c>
      <c r="N116" s="57">
        <f t="shared" si="10"/>
        <v>0</v>
      </c>
      <c r="O116" s="57">
        <f t="shared" si="10"/>
        <v>0</v>
      </c>
      <c r="P116" s="57">
        <f t="shared" si="10"/>
        <v>0</v>
      </c>
      <c r="Q116" s="57">
        <f t="shared" si="10"/>
        <v>1</v>
      </c>
      <c r="R116" s="54">
        <f t="shared" si="8"/>
        <v>113</v>
      </c>
    </row>
    <row r="117" spans="1:18" x14ac:dyDescent="0.2">
      <c r="A117" s="50">
        <f t="shared" si="9"/>
        <v>114</v>
      </c>
      <c r="B117" s="57">
        <v>0</v>
      </c>
      <c r="C117" s="57">
        <v>1</v>
      </c>
      <c r="D117" s="57">
        <v>1</v>
      </c>
      <c r="E117" s="57">
        <v>1</v>
      </c>
      <c r="F117" s="57">
        <v>0</v>
      </c>
      <c r="G117" s="57">
        <v>0</v>
      </c>
      <c r="H117" s="57">
        <v>1</v>
      </c>
      <c r="I117" s="57">
        <v>0</v>
      </c>
      <c r="J117" s="58">
        <f t="shared" si="11"/>
        <v>0</v>
      </c>
      <c r="K117" s="57">
        <f t="shared" si="11"/>
        <v>64</v>
      </c>
      <c r="L117" s="57">
        <f t="shared" si="11"/>
        <v>32</v>
      </c>
      <c r="M117" s="57">
        <f t="shared" si="10"/>
        <v>16</v>
      </c>
      <c r="N117" s="57">
        <f t="shared" si="10"/>
        <v>0</v>
      </c>
      <c r="O117" s="57">
        <f t="shared" si="10"/>
        <v>0</v>
      </c>
      <c r="P117" s="57">
        <f t="shared" si="10"/>
        <v>2</v>
      </c>
      <c r="Q117" s="57">
        <f t="shared" si="10"/>
        <v>0</v>
      </c>
      <c r="R117" s="54">
        <f t="shared" si="8"/>
        <v>114</v>
      </c>
    </row>
    <row r="118" spans="1:18" x14ac:dyDescent="0.2">
      <c r="A118" s="50">
        <f t="shared" si="9"/>
        <v>115</v>
      </c>
      <c r="B118" s="57">
        <v>0</v>
      </c>
      <c r="C118" s="57">
        <v>1</v>
      </c>
      <c r="D118" s="57">
        <v>1</v>
      </c>
      <c r="E118" s="57">
        <v>1</v>
      </c>
      <c r="F118" s="57">
        <v>0</v>
      </c>
      <c r="G118" s="57">
        <v>0</v>
      </c>
      <c r="H118" s="57">
        <v>1</v>
      </c>
      <c r="I118" s="57">
        <v>1</v>
      </c>
      <c r="J118" s="58">
        <f t="shared" si="11"/>
        <v>0</v>
      </c>
      <c r="K118" s="57">
        <f t="shared" si="11"/>
        <v>64</v>
      </c>
      <c r="L118" s="57">
        <f t="shared" si="11"/>
        <v>32</v>
      </c>
      <c r="M118" s="57">
        <f t="shared" si="10"/>
        <v>16</v>
      </c>
      <c r="N118" s="57">
        <f t="shared" si="10"/>
        <v>0</v>
      </c>
      <c r="O118" s="57">
        <f t="shared" si="10"/>
        <v>0</v>
      </c>
      <c r="P118" s="57">
        <f t="shared" si="10"/>
        <v>2</v>
      </c>
      <c r="Q118" s="57">
        <f t="shared" si="10"/>
        <v>1</v>
      </c>
      <c r="R118" s="54">
        <f t="shared" si="8"/>
        <v>115</v>
      </c>
    </row>
    <row r="119" spans="1:18" x14ac:dyDescent="0.2">
      <c r="A119" s="50">
        <f t="shared" si="9"/>
        <v>116</v>
      </c>
      <c r="B119" s="57">
        <v>0</v>
      </c>
      <c r="C119" s="57">
        <v>1</v>
      </c>
      <c r="D119" s="57">
        <v>1</v>
      </c>
      <c r="E119" s="57">
        <v>1</v>
      </c>
      <c r="F119" s="57">
        <v>0</v>
      </c>
      <c r="G119" s="57">
        <v>1</v>
      </c>
      <c r="H119" s="57">
        <v>0</v>
      </c>
      <c r="I119" s="57">
        <v>0</v>
      </c>
      <c r="J119" s="58">
        <f t="shared" si="11"/>
        <v>0</v>
      </c>
      <c r="K119" s="57">
        <f t="shared" si="11"/>
        <v>64</v>
      </c>
      <c r="L119" s="57">
        <f t="shared" si="11"/>
        <v>32</v>
      </c>
      <c r="M119" s="57">
        <f t="shared" si="10"/>
        <v>16</v>
      </c>
      <c r="N119" s="57">
        <f t="shared" si="10"/>
        <v>0</v>
      </c>
      <c r="O119" s="57">
        <f t="shared" si="10"/>
        <v>4</v>
      </c>
      <c r="P119" s="57">
        <f t="shared" si="10"/>
        <v>0</v>
      </c>
      <c r="Q119" s="57">
        <f t="shared" si="10"/>
        <v>0</v>
      </c>
      <c r="R119" s="54">
        <f t="shared" si="8"/>
        <v>116</v>
      </c>
    </row>
    <row r="120" spans="1:18" x14ac:dyDescent="0.2">
      <c r="A120" s="50">
        <f t="shared" si="9"/>
        <v>117</v>
      </c>
      <c r="B120" s="57">
        <v>0</v>
      </c>
      <c r="C120" s="57">
        <v>1</v>
      </c>
      <c r="D120" s="57">
        <v>1</v>
      </c>
      <c r="E120" s="57">
        <v>1</v>
      </c>
      <c r="F120" s="57">
        <v>0</v>
      </c>
      <c r="G120" s="57">
        <v>1</v>
      </c>
      <c r="H120" s="57">
        <v>0</v>
      </c>
      <c r="I120" s="57">
        <v>1</v>
      </c>
      <c r="J120" s="58">
        <f t="shared" si="11"/>
        <v>0</v>
      </c>
      <c r="K120" s="57">
        <f t="shared" si="11"/>
        <v>64</v>
      </c>
      <c r="L120" s="57">
        <f t="shared" si="11"/>
        <v>32</v>
      </c>
      <c r="M120" s="57">
        <f t="shared" si="10"/>
        <v>16</v>
      </c>
      <c r="N120" s="57">
        <f t="shared" si="10"/>
        <v>0</v>
      </c>
      <c r="O120" s="57">
        <f t="shared" si="10"/>
        <v>4</v>
      </c>
      <c r="P120" s="57">
        <f t="shared" si="10"/>
        <v>0</v>
      </c>
      <c r="Q120" s="57">
        <f t="shared" si="10"/>
        <v>1</v>
      </c>
      <c r="R120" s="54">
        <f t="shared" si="8"/>
        <v>117</v>
      </c>
    </row>
    <row r="121" spans="1:18" x14ac:dyDescent="0.2">
      <c r="A121" s="50">
        <f t="shared" si="9"/>
        <v>118</v>
      </c>
      <c r="B121" s="57">
        <v>0</v>
      </c>
      <c r="C121" s="57">
        <v>1</v>
      </c>
      <c r="D121" s="57">
        <v>1</v>
      </c>
      <c r="E121" s="57">
        <v>1</v>
      </c>
      <c r="F121" s="57">
        <v>0</v>
      </c>
      <c r="G121" s="57">
        <v>1</v>
      </c>
      <c r="H121" s="57">
        <v>1</v>
      </c>
      <c r="I121" s="57">
        <v>0</v>
      </c>
      <c r="J121" s="58">
        <f t="shared" si="11"/>
        <v>0</v>
      </c>
      <c r="K121" s="57">
        <f t="shared" si="11"/>
        <v>64</v>
      </c>
      <c r="L121" s="57">
        <f t="shared" si="11"/>
        <v>32</v>
      </c>
      <c r="M121" s="57">
        <f t="shared" si="10"/>
        <v>16</v>
      </c>
      <c r="N121" s="57">
        <f t="shared" si="10"/>
        <v>0</v>
      </c>
      <c r="O121" s="57">
        <f t="shared" si="10"/>
        <v>4</v>
      </c>
      <c r="P121" s="57">
        <f t="shared" si="10"/>
        <v>2</v>
      </c>
      <c r="Q121" s="57">
        <f t="shared" si="10"/>
        <v>0</v>
      </c>
      <c r="R121" s="54">
        <f t="shared" si="8"/>
        <v>118</v>
      </c>
    </row>
    <row r="122" spans="1:18" x14ac:dyDescent="0.2">
      <c r="A122" s="50">
        <f t="shared" si="9"/>
        <v>119</v>
      </c>
      <c r="B122" s="57">
        <v>0</v>
      </c>
      <c r="C122" s="57">
        <v>1</v>
      </c>
      <c r="D122" s="57">
        <v>1</v>
      </c>
      <c r="E122" s="57">
        <v>1</v>
      </c>
      <c r="F122" s="57">
        <v>0</v>
      </c>
      <c r="G122" s="57">
        <v>1</v>
      </c>
      <c r="H122" s="57">
        <v>1</v>
      </c>
      <c r="I122" s="57">
        <v>1</v>
      </c>
      <c r="J122" s="58">
        <f t="shared" si="11"/>
        <v>0</v>
      </c>
      <c r="K122" s="57">
        <f t="shared" si="11"/>
        <v>64</v>
      </c>
      <c r="L122" s="57">
        <f t="shared" si="11"/>
        <v>32</v>
      </c>
      <c r="M122" s="57">
        <f t="shared" si="10"/>
        <v>16</v>
      </c>
      <c r="N122" s="57">
        <f t="shared" si="10"/>
        <v>0</v>
      </c>
      <c r="O122" s="57">
        <f t="shared" si="10"/>
        <v>4</v>
      </c>
      <c r="P122" s="57">
        <f t="shared" si="10"/>
        <v>2</v>
      </c>
      <c r="Q122" s="57">
        <f t="shared" si="10"/>
        <v>1</v>
      </c>
      <c r="R122" s="54">
        <f t="shared" si="8"/>
        <v>119</v>
      </c>
    </row>
    <row r="123" spans="1:18" x14ac:dyDescent="0.2">
      <c r="A123" s="50">
        <f t="shared" si="9"/>
        <v>120</v>
      </c>
      <c r="B123" s="57">
        <v>0</v>
      </c>
      <c r="C123" s="57">
        <v>1</v>
      </c>
      <c r="D123" s="57">
        <v>1</v>
      </c>
      <c r="E123" s="57">
        <v>1</v>
      </c>
      <c r="F123" s="57">
        <v>1</v>
      </c>
      <c r="G123" s="57">
        <v>0</v>
      </c>
      <c r="H123" s="57">
        <v>0</v>
      </c>
      <c r="I123" s="57">
        <v>0</v>
      </c>
      <c r="J123" s="58">
        <f t="shared" si="11"/>
        <v>0</v>
      </c>
      <c r="K123" s="57">
        <f t="shared" si="11"/>
        <v>64</v>
      </c>
      <c r="L123" s="57">
        <f t="shared" si="11"/>
        <v>32</v>
      </c>
      <c r="M123" s="57">
        <f t="shared" si="10"/>
        <v>16</v>
      </c>
      <c r="N123" s="57">
        <f t="shared" si="10"/>
        <v>8</v>
      </c>
      <c r="O123" s="57">
        <f t="shared" si="10"/>
        <v>0</v>
      </c>
      <c r="P123" s="57">
        <f t="shared" si="10"/>
        <v>0</v>
      </c>
      <c r="Q123" s="57">
        <f t="shared" si="10"/>
        <v>0</v>
      </c>
      <c r="R123" s="54">
        <f t="shared" si="8"/>
        <v>120</v>
      </c>
    </row>
    <row r="124" spans="1:18" x14ac:dyDescent="0.2">
      <c r="A124" s="50">
        <f t="shared" si="9"/>
        <v>121</v>
      </c>
      <c r="B124" s="57">
        <v>0</v>
      </c>
      <c r="C124" s="57">
        <v>1</v>
      </c>
      <c r="D124" s="57">
        <v>1</v>
      </c>
      <c r="E124" s="57">
        <v>1</v>
      </c>
      <c r="F124" s="57">
        <v>1</v>
      </c>
      <c r="G124" s="57">
        <v>0</v>
      </c>
      <c r="H124" s="57">
        <v>0</v>
      </c>
      <c r="I124" s="57">
        <v>1</v>
      </c>
      <c r="J124" s="58">
        <f t="shared" si="11"/>
        <v>0</v>
      </c>
      <c r="K124" s="57">
        <f t="shared" si="11"/>
        <v>64</v>
      </c>
      <c r="L124" s="57">
        <f t="shared" si="11"/>
        <v>32</v>
      </c>
      <c r="M124" s="57">
        <f t="shared" si="10"/>
        <v>16</v>
      </c>
      <c r="N124" s="57">
        <f t="shared" si="10"/>
        <v>8</v>
      </c>
      <c r="O124" s="57">
        <f t="shared" si="10"/>
        <v>0</v>
      </c>
      <c r="P124" s="57">
        <f t="shared" si="10"/>
        <v>0</v>
      </c>
      <c r="Q124" s="57">
        <f t="shared" si="10"/>
        <v>1</v>
      </c>
      <c r="R124" s="54">
        <f t="shared" si="8"/>
        <v>121</v>
      </c>
    </row>
    <row r="125" spans="1:18" x14ac:dyDescent="0.2">
      <c r="A125" s="50">
        <f t="shared" si="9"/>
        <v>122</v>
      </c>
      <c r="B125" s="57">
        <v>0</v>
      </c>
      <c r="C125" s="57">
        <v>1</v>
      </c>
      <c r="D125" s="57">
        <v>1</v>
      </c>
      <c r="E125" s="57">
        <v>1</v>
      </c>
      <c r="F125" s="57">
        <v>1</v>
      </c>
      <c r="G125" s="57">
        <v>0</v>
      </c>
      <c r="H125" s="57">
        <v>1</v>
      </c>
      <c r="I125" s="57">
        <v>0</v>
      </c>
      <c r="J125" s="58">
        <f t="shared" si="11"/>
        <v>0</v>
      </c>
      <c r="K125" s="57">
        <f t="shared" si="11"/>
        <v>64</v>
      </c>
      <c r="L125" s="57">
        <f t="shared" si="11"/>
        <v>32</v>
      </c>
      <c r="M125" s="57">
        <f t="shared" si="10"/>
        <v>16</v>
      </c>
      <c r="N125" s="57">
        <f t="shared" si="10"/>
        <v>8</v>
      </c>
      <c r="O125" s="57">
        <f t="shared" si="10"/>
        <v>0</v>
      </c>
      <c r="P125" s="57">
        <f t="shared" si="10"/>
        <v>2</v>
      </c>
      <c r="Q125" s="57">
        <f t="shared" si="10"/>
        <v>0</v>
      </c>
      <c r="R125" s="54">
        <f t="shared" si="8"/>
        <v>122</v>
      </c>
    </row>
    <row r="126" spans="1:18" x14ac:dyDescent="0.2">
      <c r="A126" s="50">
        <f t="shared" si="9"/>
        <v>123</v>
      </c>
      <c r="B126" s="57">
        <v>0</v>
      </c>
      <c r="C126" s="57">
        <v>1</v>
      </c>
      <c r="D126" s="57">
        <v>1</v>
      </c>
      <c r="E126" s="57">
        <v>1</v>
      </c>
      <c r="F126" s="57">
        <v>1</v>
      </c>
      <c r="G126" s="57">
        <v>0</v>
      </c>
      <c r="H126" s="57">
        <v>1</v>
      </c>
      <c r="I126" s="57">
        <v>1</v>
      </c>
      <c r="J126" s="58">
        <f t="shared" si="11"/>
        <v>0</v>
      </c>
      <c r="K126" s="57">
        <f t="shared" si="11"/>
        <v>64</v>
      </c>
      <c r="L126" s="57">
        <f t="shared" si="11"/>
        <v>32</v>
      </c>
      <c r="M126" s="57">
        <f t="shared" si="10"/>
        <v>16</v>
      </c>
      <c r="N126" s="57">
        <f t="shared" si="10"/>
        <v>8</v>
      </c>
      <c r="O126" s="57">
        <f t="shared" si="10"/>
        <v>0</v>
      </c>
      <c r="P126" s="57">
        <f t="shared" si="10"/>
        <v>2</v>
      </c>
      <c r="Q126" s="57">
        <f t="shared" si="10"/>
        <v>1</v>
      </c>
      <c r="R126" s="54">
        <f t="shared" si="8"/>
        <v>123</v>
      </c>
    </row>
    <row r="127" spans="1:18" x14ac:dyDescent="0.2">
      <c r="A127" s="50">
        <f t="shared" si="9"/>
        <v>124</v>
      </c>
      <c r="B127" s="57">
        <v>0</v>
      </c>
      <c r="C127" s="57">
        <v>1</v>
      </c>
      <c r="D127" s="57">
        <v>1</v>
      </c>
      <c r="E127" s="57">
        <v>1</v>
      </c>
      <c r="F127" s="57">
        <v>1</v>
      </c>
      <c r="G127" s="57">
        <v>1</v>
      </c>
      <c r="H127" s="57">
        <v>0</v>
      </c>
      <c r="I127" s="57">
        <v>0</v>
      </c>
      <c r="J127" s="58">
        <f t="shared" si="11"/>
        <v>0</v>
      </c>
      <c r="K127" s="57">
        <f t="shared" si="11"/>
        <v>64</v>
      </c>
      <c r="L127" s="57">
        <f t="shared" si="11"/>
        <v>32</v>
      </c>
      <c r="M127" s="57">
        <f t="shared" si="10"/>
        <v>16</v>
      </c>
      <c r="N127" s="57">
        <f t="shared" si="10"/>
        <v>8</v>
      </c>
      <c r="O127" s="57">
        <f t="shared" si="10"/>
        <v>4</v>
      </c>
      <c r="P127" s="57">
        <f t="shared" si="10"/>
        <v>0</v>
      </c>
      <c r="Q127" s="57">
        <f t="shared" si="10"/>
        <v>0</v>
      </c>
      <c r="R127" s="54">
        <f t="shared" si="8"/>
        <v>124</v>
      </c>
    </row>
    <row r="128" spans="1:18" x14ac:dyDescent="0.2">
      <c r="A128" s="50">
        <f t="shared" si="9"/>
        <v>125</v>
      </c>
      <c r="B128" s="57">
        <v>0</v>
      </c>
      <c r="C128" s="57">
        <v>1</v>
      </c>
      <c r="D128" s="57">
        <v>1</v>
      </c>
      <c r="E128" s="57">
        <v>1</v>
      </c>
      <c r="F128" s="57">
        <v>1</v>
      </c>
      <c r="G128" s="57">
        <v>1</v>
      </c>
      <c r="H128" s="57">
        <v>0</v>
      </c>
      <c r="I128" s="57">
        <v>1</v>
      </c>
      <c r="J128" s="58">
        <f t="shared" si="11"/>
        <v>0</v>
      </c>
      <c r="K128" s="57">
        <f t="shared" si="11"/>
        <v>64</v>
      </c>
      <c r="L128" s="57">
        <f t="shared" si="11"/>
        <v>32</v>
      </c>
      <c r="M128" s="57">
        <f t="shared" si="10"/>
        <v>16</v>
      </c>
      <c r="N128" s="57">
        <f t="shared" si="10"/>
        <v>8</v>
      </c>
      <c r="O128" s="57">
        <f t="shared" si="10"/>
        <v>4</v>
      </c>
      <c r="P128" s="57">
        <f t="shared" si="10"/>
        <v>0</v>
      </c>
      <c r="Q128" s="57">
        <f t="shared" si="10"/>
        <v>1</v>
      </c>
      <c r="R128" s="54">
        <f t="shared" si="8"/>
        <v>125</v>
      </c>
    </row>
    <row r="129" spans="1:18" x14ac:dyDescent="0.2">
      <c r="A129" s="50">
        <f t="shared" si="9"/>
        <v>126</v>
      </c>
      <c r="B129" s="57">
        <v>0</v>
      </c>
      <c r="C129" s="57">
        <v>1</v>
      </c>
      <c r="D129" s="57">
        <v>1</v>
      </c>
      <c r="E129" s="57">
        <v>1</v>
      </c>
      <c r="F129" s="57">
        <v>1</v>
      </c>
      <c r="G129" s="57">
        <v>1</v>
      </c>
      <c r="H129" s="57">
        <v>1</v>
      </c>
      <c r="I129" s="57">
        <v>0</v>
      </c>
      <c r="J129" s="58">
        <f t="shared" si="11"/>
        <v>0</v>
      </c>
      <c r="K129" s="57">
        <f t="shared" si="11"/>
        <v>64</v>
      </c>
      <c r="L129" s="57">
        <f t="shared" si="11"/>
        <v>32</v>
      </c>
      <c r="M129" s="57">
        <f t="shared" si="10"/>
        <v>16</v>
      </c>
      <c r="N129" s="57">
        <f t="shared" si="10"/>
        <v>8</v>
      </c>
      <c r="O129" s="57">
        <f t="shared" si="10"/>
        <v>4</v>
      </c>
      <c r="P129" s="57">
        <f t="shared" si="10"/>
        <v>2</v>
      </c>
      <c r="Q129" s="57">
        <f t="shared" si="10"/>
        <v>0</v>
      </c>
      <c r="R129" s="54">
        <f t="shared" si="8"/>
        <v>126</v>
      </c>
    </row>
    <row r="130" spans="1:18" x14ac:dyDescent="0.2">
      <c r="A130" s="50">
        <f t="shared" si="9"/>
        <v>127</v>
      </c>
      <c r="B130" s="57">
        <v>0</v>
      </c>
      <c r="C130" s="57">
        <v>1</v>
      </c>
      <c r="D130" s="57">
        <v>1</v>
      </c>
      <c r="E130" s="57">
        <v>1</v>
      </c>
      <c r="F130" s="57">
        <v>1</v>
      </c>
      <c r="G130" s="57">
        <v>1</v>
      </c>
      <c r="H130" s="57">
        <v>1</v>
      </c>
      <c r="I130" s="57">
        <v>1</v>
      </c>
      <c r="J130" s="58">
        <f t="shared" si="11"/>
        <v>0</v>
      </c>
      <c r="K130" s="57">
        <f t="shared" si="11"/>
        <v>64</v>
      </c>
      <c r="L130" s="57">
        <f t="shared" si="11"/>
        <v>32</v>
      </c>
      <c r="M130" s="57">
        <f t="shared" si="10"/>
        <v>16</v>
      </c>
      <c r="N130" s="57">
        <f t="shared" si="10"/>
        <v>8</v>
      </c>
      <c r="O130" s="57">
        <f t="shared" si="10"/>
        <v>4</v>
      </c>
      <c r="P130" s="57">
        <f t="shared" si="10"/>
        <v>2</v>
      </c>
      <c r="Q130" s="57">
        <f t="shared" si="10"/>
        <v>1</v>
      </c>
      <c r="R130" s="54">
        <f t="shared" si="8"/>
        <v>127</v>
      </c>
    </row>
    <row r="131" spans="1:18" x14ac:dyDescent="0.2">
      <c r="A131" s="50">
        <f t="shared" si="9"/>
        <v>128</v>
      </c>
      <c r="B131" s="57">
        <v>1</v>
      </c>
      <c r="C131" s="51">
        <v>0</v>
      </c>
      <c r="D131" s="51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8">
        <f t="shared" si="11"/>
        <v>128</v>
      </c>
      <c r="K131" s="57">
        <f t="shared" si="11"/>
        <v>0</v>
      </c>
      <c r="L131" s="57">
        <f t="shared" si="11"/>
        <v>0</v>
      </c>
      <c r="M131" s="57">
        <f t="shared" si="10"/>
        <v>0</v>
      </c>
      <c r="N131" s="57">
        <f t="shared" si="10"/>
        <v>0</v>
      </c>
      <c r="O131" s="57">
        <f t="shared" si="10"/>
        <v>0</v>
      </c>
      <c r="P131" s="57">
        <f t="shared" si="10"/>
        <v>0</v>
      </c>
      <c r="Q131" s="57">
        <f t="shared" si="10"/>
        <v>0</v>
      </c>
      <c r="R131" s="54">
        <f t="shared" si="8"/>
        <v>128</v>
      </c>
    </row>
    <row r="132" spans="1:18" x14ac:dyDescent="0.2">
      <c r="A132" s="50">
        <f t="shared" si="9"/>
        <v>129</v>
      </c>
      <c r="B132" s="57">
        <v>1</v>
      </c>
      <c r="C132" s="57">
        <v>0</v>
      </c>
      <c r="D132" s="57">
        <v>0</v>
      </c>
      <c r="E132" s="57">
        <v>0</v>
      </c>
      <c r="F132" s="57">
        <v>0</v>
      </c>
      <c r="G132" s="57">
        <v>0</v>
      </c>
      <c r="H132" s="57">
        <v>0</v>
      </c>
      <c r="I132" s="57">
        <v>1</v>
      </c>
      <c r="J132" s="58">
        <f t="shared" si="11"/>
        <v>128</v>
      </c>
      <c r="K132" s="57">
        <f t="shared" si="11"/>
        <v>0</v>
      </c>
      <c r="L132" s="57">
        <f t="shared" si="11"/>
        <v>0</v>
      </c>
      <c r="M132" s="57">
        <f t="shared" si="10"/>
        <v>0</v>
      </c>
      <c r="N132" s="57">
        <f t="shared" si="10"/>
        <v>0</v>
      </c>
      <c r="O132" s="57">
        <f t="shared" si="10"/>
        <v>0</v>
      </c>
      <c r="P132" s="57">
        <f t="shared" si="10"/>
        <v>0</v>
      </c>
      <c r="Q132" s="57">
        <f t="shared" si="10"/>
        <v>1</v>
      </c>
      <c r="R132" s="54">
        <f t="shared" ref="R132:R195" si="12">SUM(J132:Q132)</f>
        <v>129</v>
      </c>
    </row>
    <row r="133" spans="1:18" x14ac:dyDescent="0.2">
      <c r="A133" s="50">
        <f t="shared" si="9"/>
        <v>130</v>
      </c>
      <c r="B133" s="57">
        <v>1</v>
      </c>
      <c r="C133" s="57">
        <v>0</v>
      </c>
      <c r="D133" s="57">
        <v>0</v>
      </c>
      <c r="E133" s="57">
        <v>0</v>
      </c>
      <c r="F133" s="57">
        <v>0</v>
      </c>
      <c r="G133" s="57">
        <v>0</v>
      </c>
      <c r="H133" s="57">
        <v>1</v>
      </c>
      <c r="I133" s="57">
        <v>0</v>
      </c>
      <c r="J133" s="58">
        <f t="shared" si="11"/>
        <v>128</v>
      </c>
      <c r="K133" s="57">
        <f t="shared" si="11"/>
        <v>0</v>
      </c>
      <c r="L133" s="57">
        <f t="shared" si="11"/>
        <v>0</v>
      </c>
      <c r="M133" s="57">
        <f t="shared" si="10"/>
        <v>0</v>
      </c>
      <c r="N133" s="57">
        <f t="shared" si="10"/>
        <v>0</v>
      </c>
      <c r="O133" s="57">
        <f t="shared" si="10"/>
        <v>0</v>
      </c>
      <c r="P133" s="57">
        <f t="shared" si="10"/>
        <v>2</v>
      </c>
      <c r="Q133" s="57">
        <f t="shared" si="10"/>
        <v>0</v>
      </c>
      <c r="R133" s="54">
        <f t="shared" si="12"/>
        <v>130</v>
      </c>
    </row>
    <row r="134" spans="1:18" x14ac:dyDescent="0.2">
      <c r="A134" s="50">
        <f t="shared" si="9"/>
        <v>131</v>
      </c>
      <c r="B134" s="57">
        <v>1</v>
      </c>
      <c r="C134" s="57">
        <v>0</v>
      </c>
      <c r="D134" s="57">
        <v>0</v>
      </c>
      <c r="E134" s="57">
        <v>0</v>
      </c>
      <c r="F134" s="57">
        <v>0</v>
      </c>
      <c r="G134" s="57">
        <v>0</v>
      </c>
      <c r="H134" s="57">
        <v>1</v>
      </c>
      <c r="I134" s="57">
        <v>1</v>
      </c>
      <c r="J134" s="58">
        <f t="shared" si="11"/>
        <v>128</v>
      </c>
      <c r="K134" s="57">
        <f t="shared" si="11"/>
        <v>0</v>
      </c>
      <c r="L134" s="57">
        <f t="shared" si="11"/>
        <v>0</v>
      </c>
      <c r="M134" s="57">
        <f t="shared" si="10"/>
        <v>0</v>
      </c>
      <c r="N134" s="57">
        <f t="shared" si="10"/>
        <v>0</v>
      </c>
      <c r="O134" s="57">
        <f t="shared" si="10"/>
        <v>0</v>
      </c>
      <c r="P134" s="57">
        <f t="shared" si="10"/>
        <v>2</v>
      </c>
      <c r="Q134" s="57">
        <f t="shared" si="10"/>
        <v>1</v>
      </c>
      <c r="R134" s="54">
        <f t="shared" si="12"/>
        <v>131</v>
      </c>
    </row>
    <row r="135" spans="1:18" x14ac:dyDescent="0.2">
      <c r="A135" s="50">
        <f t="shared" ref="A135:A198" si="13">A134+1</f>
        <v>132</v>
      </c>
      <c r="B135" s="57">
        <v>1</v>
      </c>
      <c r="C135" s="57">
        <v>0</v>
      </c>
      <c r="D135" s="57">
        <v>0</v>
      </c>
      <c r="E135" s="57">
        <v>0</v>
      </c>
      <c r="F135" s="57">
        <v>0</v>
      </c>
      <c r="G135" s="57">
        <v>1</v>
      </c>
      <c r="H135" s="57">
        <v>0</v>
      </c>
      <c r="I135" s="57">
        <v>0</v>
      </c>
      <c r="J135" s="58">
        <f t="shared" si="11"/>
        <v>128</v>
      </c>
      <c r="K135" s="57">
        <f t="shared" si="11"/>
        <v>0</v>
      </c>
      <c r="L135" s="57">
        <f t="shared" si="11"/>
        <v>0</v>
      </c>
      <c r="M135" s="57">
        <f t="shared" si="10"/>
        <v>0</v>
      </c>
      <c r="N135" s="57">
        <f t="shared" si="10"/>
        <v>0</v>
      </c>
      <c r="O135" s="57">
        <f t="shared" si="10"/>
        <v>4</v>
      </c>
      <c r="P135" s="57">
        <f t="shared" si="10"/>
        <v>0</v>
      </c>
      <c r="Q135" s="57">
        <f t="shared" si="10"/>
        <v>0</v>
      </c>
      <c r="R135" s="54">
        <f t="shared" si="12"/>
        <v>132</v>
      </c>
    </row>
    <row r="136" spans="1:18" x14ac:dyDescent="0.2">
      <c r="A136" s="50">
        <f t="shared" si="13"/>
        <v>133</v>
      </c>
      <c r="B136" s="57">
        <v>1</v>
      </c>
      <c r="C136" s="57">
        <v>0</v>
      </c>
      <c r="D136" s="57">
        <v>0</v>
      </c>
      <c r="E136" s="57">
        <v>0</v>
      </c>
      <c r="F136" s="57">
        <v>0</v>
      </c>
      <c r="G136" s="57">
        <v>1</v>
      </c>
      <c r="H136" s="57">
        <v>0</v>
      </c>
      <c r="I136" s="57">
        <v>1</v>
      </c>
      <c r="J136" s="58">
        <f t="shared" si="11"/>
        <v>128</v>
      </c>
      <c r="K136" s="57">
        <f t="shared" si="11"/>
        <v>0</v>
      </c>
      <c r="L136" s="57">
        <f t="shared" si="11"/>
        <v>0</v>
      </c>
      <c r="M136" s="57">
        <f t="shared" si="10"/>
        <v>0</v>
      </c>
      <c r="N136" s="57">
        <f t="shared" si="10"/>
        <v>0</v>
      </c>
      <c r="O136" s="57">
        <f t="shared" si="10"/>
        <v>4</v>
      </c>
      <c r="P136" s="57">
        <f t="shared" si="10"/>
        <v>0</v>
      </c>
      <c r="Q136" s="57">
        <f t="shared" si="10"/>
        <v>1</v>
      </c>
      <c r="R136" s="54">
        <f t="shared" si="12"/>
        <v>133</v>
      </c>
    </row>
    <row r="137" spans="1:18" x14ac:dyDescent="0.2">
      <c r="A137" s="50">
        <f t="shared" si="13"/>
        <v>134</v>
      </c>
      <c r="B137" s="57">
        <v>1</v>
      </c>
      <c r="C137" s="57">
        <v>0</v>
      </c>
      <c r="D137" s="57">
        <v>0</v>
      </c>
      <c r="E137" s="57">
        <v>0</v>
      </c>
      <c r="F137" s="57">
        <v>0</v>
      </c>
      <c r="G137" s="57">
        <v>1</v>
      </c>
      <c r="H137" s="57">
        <v>1</v>
      </c>
      <c r="I137" s="57">
        <v>0</v>
      </c>
      <c r="J137" s="58">
        <f t="shared" si="11"/>
        <v>128</v>
      </c>
      <c r="K137" s="57">
        <f t="shared" si="11"/>
        <v>0</v>
      </c>
      <c r="L137" s="57">
        <f t="shared" si="11"/>
        <v>0</v>
      </c>
      <c r="M137" s="57">
        <f t="shared" si="10"/>
        <v>0</v>
      </c>
      <c r="N137" s="57">
        <f t="shared" si="10"/>
        <v>0</v>
      </c>
      <c r="O137" s="57">
        <f t="shared" si="10"/>
        <v>4</v>
      </c>
      <c r="P137" s="57">
        <f t="shared" si="10"/>
        <v>2</v>
      </c>
      <c r="Q137" s="57">
        <f t="shared" si="10"/>
        <v>0</v>
      </c>
      <c r="R137" s="54">
        <f t="shared" si="12"/>
        <v>134</v>
      </c>
    </row>
    <row r="138" spans="1:18" x14ac:dyDescent="0.2">
      <c r="A138" s="50">
        <f t="shared" si="13"/>
        <v>135</v>
      </c>
      <c r="B138" s="57">
        <v>1</v>
      </c>
      <c r="C138" s="57">
        <v>0</v>
      </c>
      <c r="D138" s="57">
        <v>0</v>
      </c>
      <c r="E138" s="57">
        <v>0</v>
      </c>
      <c r="F138" s="57">
        <v>0</v>
      </c>
      <c r="G138" s="57">
        <v>1</v>
      </c>
      <c r="H138" s="57">
        <v>1</v>
      </c>
      <c r="I138" s="57">
        <v>1</v>
      </c>
      <c r="J138" s="58">
        <f t="shared" si="11"/>
        <v>128</v>
      </c>
      <c r="K138" s="57">
        <f t="shared" si="11"/>
        <v>0</v>
      </c>
      <c r="L138" s="57">
        <f t="shared" si="11"/>
        <v>0</v>
      </c>
      <c r="M138" s="57">
        <f t="shared" si="10"/>
        <v>0</v>
      </c>
      <c r="N138" s="57">
        <f t="shared" si="10"/>
        <v>0</v>
      </c>
      <c r="O138" s="57">
        <f t="shared" si="10"/>
        <v>4</v>
      </c>
      <c r="P138" s="57">
        <f t="shared" si="10"/>
        <v>2</v>
      </c>
      <c r="Q138" s="57">
        <f t="shared" si="10"/>
        <v>1</v>
      </c>
      <c r="R138" s="54">
        <f t="shared" si="12"/>
        <v>135</v>
      </c>
    </row>
    <row r="139" spans="1:18" x14ac:dyDescent="0.2">
      <c r="A139" s="50">
        <f t="shared" si="13"/>
        <v>136</v>
      </c>
      <c r="B139" s="57">
        <v>1</v>
      </c>
      <c r="C139" s="57">
        <v>0</v>
      </c>
      <c r="D139" s="57">
        <v>0</v>
      </c>
      <c r="E139" s="57">
        <v>0</v>
      </c>
      <c r="F139" s="57">
        <v>1</v>
      </c>
      <c r="G139" s="57">
        <v>0</v>
      </c>
      <c r="H139" s="57">
        <v>0</v>
      </c>
      <c r="I139" s="57">
        <v>0</v>
      </c>
      <c r="J139" s="58">
        <f t="shared" si="11"/>
        <v>128</v>
      </c>
      <c r="K139" s="57">
        <f t="shared" si="11"/>
        <v>0</v>
      </c>
      <c r="L139" s="57">
        <f t="shared" si="11"/>
        <v>0</v>
      </c>
      <c r="M139" s="57">
        <f t="shared" si="10"/>
        <v>0</v>
      </c>
      <c r="N139" s="57">
        <f t="shared" si="10"/>
        <v>8</v>
      </c>
      <c r="O139" s="57">
        <f t="shared" si="10"/>
        <v>0</v>
      </c>
      <c r="P139" s="57">
        <f t="shared" si="10"/>
        <v>0</v>
      </c>
      <c r="Q139" s="57">
        <f t="shared" si="10"/>
        <v>0</v>
      </c>
      <c r="R139" s="54">
        <f t="shared" si="12"/>
        <v>136</v>
      </c>
    </row>
    <row r="140" spans="1:18" x14ac:dyDescent="0.2">
      <c r="A140" s="50">
        <f t="shared" si="13"/>
        <v>137</v>
      </c>
      <c r="B140" s="57">
        <v>1</v>
      </c>
      <c r="C140" s="57">
        <v>0</v>
      </c>
      <c r="D140" s="57">
        <v>0</v>
      </c>
      <c r="E140" s="57">
        <v>0</v>
      </c>
      <c r="F140" s="57">
        <v>1</v>
      </c>
      <c r="G140" s="57">
        <v>0</v>
      </c>
      <c r="H140" s="57">
        <v>0</v>
      </c>
      <c r="I140" s="57">
        <v>1</v>
      </c>
      <c r="J140" s="58">
        <f t="shared" si="11"/>
        <v>128</v>
      </c>
      <c r="K140" s="57">
        <f t="shared" si="11"/>
        <v>0</v>
      </c>
      <c r="L140" s="57">
        <f t="shared" si="11"/>
        <v>0</v>
      </c>
      <c r="M140" s="57">
        <f t="shared" si="10"/>
        <v>0</v>
      </c>
      <c r="N140" s="57">
        <f t="shared" si="10"/>
        <v>8</v>
      </c>
      <c r="O140" s="57">
        <f t="shared" si="10"/>
        <v>0</v>
      </c>
      <c r="P140" s="57">
        <f t="shared" si="10"/>
        <v>0</v>
      </c>
      <c r="Q140" s="57">
        <f t="shared" si="10"/>
        <v>1</v>
      </c>
      <c r="R140" s="54">
        <f t="shared" si="12"/>
        <v>137</v>
      </c>
    </row>
    <row r="141" spans="1:18" x14ac:dyDescent="0.2">
      <c r="A141" s="50">
        <f t="shared" si="13"/>
        <v>138</v>
      </c>
      <c r="B141" s="57">
        <v>1</v>
      </c>
      <c r="C141" s="57">
        <v>0</v>
      </c>
      <c r="D141" s="57">
        <v>0</v>
      </c>
      <c r="E141" s="57">
        <v>0</v>
      </c>
      <c r="F141" s="57">
        <v>1</v>
      </c>
      <c r="G141" s="57">
        <v>0</v>
      </c>
      <c r="H141" s="57">
        <v>1</v>
      </c>
      <c r="I141" s="57">
        <v>0</v>
      </c>
      <c r="J141" s="58">
        <f t="shared" si="11"/>
        <v>128</v>
      </c>
      <c r="K141" s="57">
        <f t="shared" si="11"/>
        <v>0</v>
      </c>
      <c r="L141" s="57">
        <f t="shared" si="11"/>
        <v>0</v>
      </c>
      <c r="M141" s="57">
        <f t="shared" si="10"/>
        <v>0</v>
      </c>
      <c r="N141" s="57">
        <f t="shared" si="10"/>
        <v>8</v>
      </c>
      <c r="O141" s="57">
        <f t="shared" si="10"/>
        <v>0</v>
      </c>
      <c r="P141" s="57">
        <f t="shared" si="10"/>
        <v>2</v>
      </c>
      <c r="Q141" s="57">
        <f t="shared" si="10"/>
        <v>0</v>
      </c>
      <c r="R141" s="54">
        <f t="shared" si="12"/>
        <v>138</v>
      </c>
    </row>
    <row r="142" spans="1:18" x14ac:dyDescent="0.2">
      <c r="A142" s="50">
        <f t="shared" si="13"/>
        <v>139</v>
      </c>
      <c r="B142" s="57">
        <v>1</v>
      </c>
      <c r="C142" s="57">
        <v>0</v>
      </c>
      <c r="D142" s="57">
        <v>0</v>
      </c>
      <c r="E142" s="57">
        <v>0</v>
      </c>
      <c r="F142" s="57">
        <v>1</v>
      </c>
      <c r="G142" s="57">
        <v>0</v>
      </c>
      <c r="H142" s="57">
        <v>1</v>
      </c>
      <c r="I142" s="57">
        <v>1</v>
      </c>
      <c r="J142" s="58">
        <f t="shared" si="11"/>
        <v>128</v>
      </c>
      <c r="K142" s="57">
        <f t="shared" si="11"/>
        <v>0</v>
      </c>
      <c r="L142" s="57">
        <f t="shared" si="11"/>
        <v>0</v>
      </c>
      <c r="M142" s="57">
        <f t="shared" si="10"/>
        <v>0</v>
      </c>
      <c r="N142" s="57">
        <f t="shared" si="10"/>
        <v>8</v>
      </c>
      <c r="O142" s="57">
        <f t="shared" si="10"/>
        <v>0</v>
      </c>
      <c r="P142" s="57">
        <f t="shared" si="10"/>
        <v>2</v>
      </c>
      <c r="Q142" s="57">
        <f t="shared" si="10"/>
        <v>1</v>
      </c>
      <c r="R142" s="54">
        <f t="shared" si="12"/>
        <v>139</v>
      </c>
    </row>
    <row r="143" spans="1:18" x14ac:dyDescent="0.2">
      <c r="A143" s="50">
        <f t="shared" si="13"/>
        <v>140</v>
      </c>
      <c r="B143" s="57">
        <v>1</v>
      </c>
      <c r="C143" s="57">
        <v>0</v>
      </c>
      <c r="D143" s="57">
        <v>0</v>
      </c>
      <c r="E143" s="57">
        <v>0</v>
      </c>
      <c r="F143" s="57">
        <v>1</v>
      </c>
      <c r="G143" s="57">
        <v>1</v>
      </c>
      <c r="H143" s="57">
        <v>0</v>
      </c>
      <c r="I143" s="57">
        <v>0</v>
      </c>
      <c r="J143" s="58">
        <f t="shared" si="11"/>
        <v>128</v>
      </c>
      <c r="K143" s="57">
        <f t="shared" si="11"/>
        <v>0</v>
      </c>
      <c r="L143" s="57">
        <f t="shared" si="11"/>
        <v>0</v>
      </c>
      <c r="M143" s="57">
        <f t="shared" si="10"/>
        <v>0</v>
      </c>
      <c r="N143" s="57">
        <f t="shared" si="10"/>
        <v>8</v>
      </c>
      <c r="O143" s="57">
        <f t="shared" si="10"/>
        <v>4</v>
      </c>
      <c r="P143" s="57">
        <f t="shared" si="10"/>
        <v>0</v>
      </c>
      <c r="Q143" s="57">
        <f t="shared" si="10"/>
        <v>0</v>
      </c>
      <c r="R143" s="54">
        <f t="shared" si="12"/>
        <v>140</v>
      </c>
    </row>
    <row r="144" spans="1:18" x14ac:dyDescent="0.2">
      <c r="A144" s="50">
        <f t="shared" si="13"/>
        <v>141</v>
      </c>
      <c r="B144" s="57">
        <v>1</v>
      </c>
      <c r="C144" s="57">
        <v>0</v>
      </c>
      <c r="D144" s="57">
        <v>0</v>
      </c>
      <c r="E144" s="57">
        <v>0</v>
      </c>
      <c r="F144" s="57">
        <v>1</v>
      </c>
      <c r="G144" s="57">
        <v>1</v>
      </c>
      <c r="H144" s="57">
        <v>0</v>
      </c>
      <c r="I144" s="57">
        <v>1</v>
      </c>
      <c r="J144" s="58">
        <f t="shared" si="11"/>
        <v>128</v>
      </c>
      <c r="K144" s="57">
        <f t="shared" si="11"/>
        <v>0</v>
      </c>
      <c r="L144" s="57">
        <f t="shared" si="11"/>
        <v>0</v>
      </c>
      <c r="M144" s="57">
        <f t="shared" si="10"/>
        <v>0</v>
      </c>
      <c r="N144" s="57">
        <f t="shared" si="10"/>
        <v>8</v>
      </c>
      <c r="O144" s="57">
        <f t="shared" ref="O144:Q207" si="14">IF(G144=1,G$2,0)</f>
        <v>4</v>
      </c>
      <c r="P144" s="57">
        <f t="shared" si="14"/>
        <v>0</v>
      </c>
      <c r="Q144" s="57">
        <f t="shared" si="14"/>
        <v>1</v>
      </c>
      <c r="R144" s="54">
        <f t="shared" si="12"/>
        <v>141</v>
      </c>
    </row>
    <row r="145" spans="1:18" x14ac:dyDescent="0.2">
      <c r="A145" s="50">
        <f t="shared" si="13"/>
        <v>142</v>
      </c>
      <c r="B145" s="57">
        <v>1</v>
      </c>
      <c r="C145" s="57">
        <v>0</v>
      </c>
      <c r="D145" s="57">
        <v>0</v>
      </c>
      <c r="E145" s="57">
        <v>0</v>
      </c>
      <c r="F145" s="57">
        <v>1</v>
      </c>
      <c r="G145" s="57">
        <v>1</v>
      </c>
      <c r="H145" s="57">
        <v>1</v>
      </c>
      <c r="I145" s="57">
        <v>0</v>
      </c>
      <c r="J145" s="58">
        <f t="shared" si="11"/>
        <v>128</v>
      </c>
      <c r="K145" s="57">
        <f t="shared" si="11"/>
        <v>0</v>
      </c>
      <c r="L145" s="57">
        <f t="shared" si="11"/>
        <v>0</v>
      </c>
      <c r="M145" s="57">
        <f t="shared" si="11"/>
        <v>0</v>
      </c>
      <c r="N145" s="57">
        <f t="shared" si="11"/>
        <v>8</v>
      </c>
      <c r="O145" s="57">
        <f t="shared" si="14"/>
        <v>4</v>
      </c>
      <c r="P145" s="57">
        <f t="shared" si="14"/>
        <v>2</v>
      </c>
      <c r="Q145" s="57">
        <f t="shared" si="14"/>
        <v>0</v>
      </c>
      <c r="R145" s="54">
        <f t="shared" si="12"/>
        <v>142</v>
      </c>
    </row>
    <row r="146" spans="1:18" x14ac:dyDescent="0.2">
      <c r="A146" s="50">
        <f t="shared" si="13"/>
        <v>143</v>
      </c>
      <c r="B146" s="57">
        <v>1</v>
      </c>
      <c r="C146" s="57">
        <v>0</v>
      </c>
      <c r="D146" s="57">
        <v>0</v>
      </c>
      <c r="E146" s="57">
        <v>0</v>
      </c>
      <c r="F146" s="57">
        <v>1</v>
      </c>
      <c r="G146" s="57">
        <v>1</v>
      </c>
      <c r="H146" s="57">
        <v>1</v>
      </c>
      <c r="I146" s="57">
        <v>1</v>
      </c>
      <c r="J146" s="58">
        <f t="shared" si="11"/>
        <v>128</v>
      </c>
      <c r="K146" s="57">
        <f t="shared" si="11"/>
        <v>0</v>
      </c>
      <c r="L146" s="57">
        <f t="shared" si="11"/>
        <v>0</v>
      </c>
      <c r="M146" s="57">
        <f t="shared" si="11"/>
        <v>0</v>
      </c>
      <c r="N146" s="57">
        <f t="shared" si="11"/>
        <v>8</v>
      </c>
      <c r="O146" s="57">
        <f t="shared" si="14"/>
        <v>4</v>
      </c>
      <c r="P146" s="57">
        <f t="shared" si="14"/>
        <v>2</v>
      </c>
      <c r="Q146" s="57">
        <f t="shared" si="14"/>
        <v>1</v>
      </c>
      <c r="R146" s="54">
        <f t="shared" si="12"/>
        <v>143</v>
      </c>
    </row>
    <row r="147" spans="1:18" x14ac:dyDescent="0.2">
      <c r="A147" s="50">
        <f t="shared" si="13"/>
        <v>144</v>
      </c>
      <c r="B147" s="57">
        <v>1</v>
      </c>
      <c r="C147" s="57">
        <v>0</v>
      </c>
      <c r="D147" s="57">
        <v>0</v>
      </c>
      <c r="E147" s="57">
        <v>1</v>
      </c>
      <c r="F147" s="57">
        <v>0</v>
      </c>
      <c r="G147" s="57">
        <v>0</v>
      </c>
      <c r="H147" s="57">
        <v>0</v>
      </c>
      <c r="I147" s="57">
        <v>0</v>
      </c>
      <c r="J147" s="58">
        <f t="shared" si="11"/>
        <v>128</v>
      </c>
      <c r="K147" s="57">
        <f t="shared" si="11"/>
        <v>0</v>
      </c>
      <c r="L147" s="57">
        <f t="shared" si="11"/>
        <v>0</v>
      </c>
      <c r="M147" s="57">
        <f t="shared" si="11"/>
        <v>16</v>
      </c>
      <c r="N147" s="57">
        <f t="shared" si="11"/>
        <v>0</v>
      </c>
      <c r="O147" s="57">
        <f t="shared" si="14"/>
        <v>0</v>
      </c>
      <c r="P147" s="57">
        <f t="shared" si="14"/>
        <v>0</v>
      </c>
      <c r="Q147" s="57">
        <f t="shared" si="14"/>
        <v>0</v>
      </c>
      <c r="R147" s="54">
        <f t="shared" si="12"/>
        <v>144</v>
      </c>
    </row>
    <row r="148" spans="1:18" x14ac:dyDescent="0.2">
      <c r="A148" s="50">
        <f t="shared" si="13"/>
        <v>145</v>
      </c>
      <c r="B148" s="57">
        <v>1</v>
      </c>
      <c r="C148" s="57">
        <v>0</v>
      </c>
      <c r="D148" s="57">
        <v>0</v>
      </c>
      <c r="E148" s="57">
        <v>1</v>
      </c>
      <c r="F148" s="57">
        <v>0</v>
      </c>
      <c r="G148" s="57">
        <v>0</v>
      </c>
      <c r="H148" s="57">
        <v>0</v>
      </c>
      <c r="I148" s="57">
        <v>1</v>
      </c>
      <c r="J148" s="58">
        <f t="shared" si="11"/>
        <v>128</v>
      </c>
      <c r="K148" s="57">
        <f t="shared" si="11"/>
        <v>0</v>
      </c>
      <c r="L148" s="57">
        <f t="shared" si="11"/>
        <v>0</v>
      </c>
      <c r="M148" s="57">
        <f t="shared" si="11"/>
        <v>16</v>
      </c>
      <c r="N148" s="57">
        <f t="shared" si="11"/>
        <v>0</v>
      </c>
      <c r="O148" s="57">
        <f t="shared" si="14"/>
        <v>0</v>
      </c>
      <c r="P148" s="57">
        <f t="shared" si="14"/>
        <v>0</v>
      </c>
      <c r="Q148" s="57">
        <f t="shared" si="14"/>
        <v>1</v>
      </c>
      <c r="R148" s="54">
        <f t="shared" si="12"/>
        <v>145</v>
      </c>
    </row>
    <row r="149" spans="1:18" x14ac:dyDescent="0.2">
      <c r="A149" s="50">
        <f t="shared" si="13"/>
        <v>146</v>
      </c>
      <c r="B149" s="57">
        <v>1</v>
      </c>
      <c r="C149" s="57">
        <v>0</v>
      </c>
      <c r="D149" s="57">
        <v>0</v>
      </c>
      <c r="E149" s="57">
        <v>1</v>
      </c>
      <c r="F149" s="57">
        <v>0</v>
      </c>
      <c r="G149" s="57">
        <v>0</v>
      </c>
      <c r="H149" s="57">
        <v>1</v>
      </c>
      <c r="I149" s="57">
        <v>0</v>
      </c>
      <c r="J149" s="58">
        <f t="shared" si="11"/>
        <v>128</v>
      </c>
      <c r="K149" s="57">
        <f t="shared" si="11"/>
        <v>0</v>
      </c>
      <c r="L149" s="57">
        <f t="shared" si="11"/>
        <v>0</v>
      </c>
      <c r="M149" s="57">
        <f t="shared" si="11"/>
        <v>16</v>
      </c>
      <c r="N149" s="57">
        <f t="shared" si="11"/>
        <v>0</v>
      </c>
      <c r="O149" s="57">
        <f t="shared" si="14"/>
        <v>0</v>
      </c>
      <c r="P149" s="57">
        <f t="shared" si="14"/>
        <v>2</v>
      </c>
      <c r="Q149" s="57">
        <f t="shared" si="14"/>
        <v>0</v>
      </c>
      <c r="R149" s="54">
        <f t="shared" si="12"/>
        <v>146</v>
      </c>
    </row>
    <row r="150" spans="1:18" x14ac:dyDescent="0.2">
      <c r="A150" s="50">
        <f t="shared" si="13"/>
        <v>147</v>
      </c>
      <c r="B150" s="57">
        <v>1</v>
      </c>
      <c r="C150" s="57">
        <v>0</v>
      </c>
      <c r="D150" s="57">
        <v>0</v>
      </c>
      <c r="E150" s="57">
        <v>1</v>
      </c>
      <c r="F150" s="57">
        <v>0</v>
      </c>
      <c r="G150" s="57">
        <v>0</v>
      </c>
      <c r="H150" s="57">
        <v>1</v>
      </c>
      <c r="I150" s="57">
        <v>1</v>
      </c>
      <c r="J150" s="58">
        <f t="shared" si="11"/>
        <v>128</v>
      </c>
      <c r="K150" s="57">
        <f t="shared" si="11"/>
        <v>0</v>
      </c>
      <c r="L150" s="57">
        <f t="shared" si="11"/>
        <v>0</v>
      </c>
      <c r="M150" s="57">
        <f t="shared" si="11"/>
        <v>16</v>
      </c>
      <c r="N150" s="57">
        <f t="shared" si="11"/>
        <v>0</v>
      </c>
      <c r="O150" s="57">
        <f t="shared" si="14"/>
        <v>0</v>
      </c>
      <c r="P150" s="57">
        <f t="shared" si="14"/>
        <v>2</v>
      </c>
      <c r="Q150" s="57">
        <f t="shared" si="14"/>
        <v>1</v>
      </c>
      <c r="R150" s="54">
        <f t="shared" si="12"/>
        <v>147</v>
      </c>
    </row>
    <row r="151" spans="1:18" x14ac:dyDescent="0.2">
      <c r="A151" s="50">
        <f t="shared" si="13"/>
        <v>148</v>
      </c>
      <c r="B151" s="57">
        <v>1</v>
      </c>
      <c r="C151" s="57">
        <v>0</v>
      </c>
      <c r="D151" s="57">
        <v>0</v>
      </c>
      <c r="E151" s="57">
        <v>1</v>
      </c>
      <c r="F151" s="57">
        <v>0</v>
      </c>
      <c r="G151" s="57">
        <v>1</v>
      </c>
      <c r="H151" s="57">
        <v>0</v>
      </c>
      <c r="I151" s="57">
        <v>0</v>
      </c>
      <c r="J151" s="58">
        <f t="shared" si="11"/>
        <v>128</v>
      </c>
      <c r="K151" s="57">
        <f t="shared" si="11"/>
        <v>0</v>
      </c>
      <c r="L151" s="57">
        <f t="shared" si="11"/>
        <v>0</v>
      </c>
      <c r="M151" s="57">
        <f t="shared" si="11"/>
        <v>16</v>
      </c>
      <c r="N151" s="57">
        <f t="shared" si="11"/>
        <v>0</v>
      </c>
      <c r="O151" s="57">
        <f t="shared" si="14"/>
        <v>4</v>
      </c>
      <c r="P151" s="57">
        <f t="shared" si="14"/>
        <v>0</v>
      </c>
      <c r="Q151" s="57">
        <f t="shared" si="14"/>
        <v>0</v>
      </c>
      <c r="R151" s="54">
        <f t="shared" si="12"/>
        <v>148</v>
      </c>
    </row>
    <row r="152" spans="1:18" x14ac:dyDescent="0.2">
      <c r="A152" s="50">
        <f t="shared" si="13"/>
        <v>149</v>
      </c>
      <c r="B152" s="57">
        <v>1</v>
      </c>
      <c r="C152" s="57">
        <v>0</v>
      </c>
      <c r="D152" s="57">
        <v>0</v>
      </c>
      <c r="E152" s="57">
        <v>1</v>
      </c>
      <c r="F152" s="57">
        <v>0</v>
      </c>
      <c r="G152" s="57">
        <v>1</v>
      </c>
      <c r="H152" s="57">
        <v>0</v>
      </c>
      <c r="I152" s="57">
        <v>1</v>
      </c>
      <c r="J152" s="58">
        <f t="shared" si="11"/>
        <v>128</v>
      </c>
      <c r="K152" s="57">
        <f t="shared" si="11"/>
        <v>0</v>
      </c>
      <c r="L152" s="57">
        <f t="shared" si="11"/>
        <v>0</v>
      </c>
      <c r="M152" s="57">
        <f t="shared" si="11"/>
        <v>16</v>
      </c>
      <c r="N152" s="57">
        <f t="shared" si="11"/>
        <v>0</v>
      </c>
      <c r="O152" s="57">
        <f t="shared" si="14"/>
        <v>4</v>
      </c>
      <c r="P152" s="57">
        <f t="shared" si="14"/>
        <v>0</v>
      </c>
      <c r="Q152" s="57">
        <f t="shared" si="14"/>
        <v>1</v>
      </c>
      <c r="R152" s="54">
        <f t="shared" si="12"/>
        <v>149</v>
      </c>
    </row>
    <row r="153" spans="1:18" x14ac:dyDescent="0.2">
      <c r="A153" s="50">
        <f t="shared" si="13"/>
        <v>150</v>
      </c>
      <c r="B153" s="57">
        <v>1</v>
      </c>
      <c r="C153" s="57">
        <v>0</v>
      </c>
      <c r="D153" s="57">
        <v>0</v>
      </c>
      <c r="E153" s="57">
        <v>1</v>
      </c>
      <c r="F153" s="57">
        <v>0</v>
      </c>
      <c r="G153" s="57">
        <v>1</v>
      </c>
      <c r="H153" s="57">
        <v>1</v>
      </c>
      <c r="I153" s="57">
        <v>0</v>
      </c>
      <c r="J153" s="58">
        <f t="shared" ref="J153:N203" si="15">IF(B153=1,B$2,0)</f>
        <v>128</v>
      </c>
      <c r="K153" s="57">
        <f t="shared" si="15"/>
        <v>0</v>
      </c>
      <c r="L153" s="57">
        <f t="shared" si="15"/>
        <v>0</v>
      </c>
      <c r="M153" s="57">
        <f t="shared" si="15"/>
        <v>16</v>
      </c>
      <c r="N153" s="57">
        <f t="shared" si="15"/>
        <v>0</v>
      </c>
      <c r="O153" s="57">
        <f t="shared" si="14"/>
        <v>4</v>
      </c>
      <c r="P153" s="57">
        <f t="shared" si="14"/>
        <v>2</v>
      </c>
      <c r="Q153" s="57">
        <f t="shared" si="14"/>
        <v>0</v>
      </c>
      <c r="R153" s="54">
        <f t="shared" si="12"/>
        <v>150</v>
      </c>
    </row>
    <row r="154" spans="1:18" x14ac:dyDescent="0.2">
      <c r="A154" s="50">
        <f t="shared" si="13"/>
        <v>151</v>
      </c>
      <c r="B154" s="57">
        <v>1</v>
      </c>
      <c r="C154" s="57">
        <v>0</v>
      </c>
      <c r="D154" s="57">
        <v>0</v>
      </c>
      <c r="E154" s="57">
        <v>1</v>
      </c>
      <c r="F154" s="57">
        <v>0</v>
      </c>
      <c r="G154" s="57">
        <v>1</v>
      </c>
      <c r="H154" s="57">
        <v>1</v>
      </c>
      <c r="I154" s="57">
        <v>1</v>
      </c>
      <c r="J154" s="58">
        <f t="shared" si="15"/>
        <v>128</v>
      </c>
      <c r="K154" s="57">
        <f t="shared" si="15"/>
        <v>0</v>
      </c>
      <c r="L154" s="57">
        <f t="shared" si="15"/>
        <v>0</v>
      </c>
      <c r="M154" s="57">
        <f t="shared" si="15"/>
        <v>16</v>
      </c>
      <c r="N154" s="57">
        <f t="shared" si="15"/>
        <v>0</v>
      </c>
      <c r="O154" s="57">
        <f t="shared" si="14"/>
        <v>4</v>
      </c>
      <c r="P154" s="57">
        <f t="shared" si="14"/>
        <v>2</v>
      </c>
      <c r="Q154" s="57">
        <f t="shared" si="14"/>
        <v>1</v>
      </c>
      <c r="R154" s="54">
        <f t="shared" si="12"/>
        <v>151</v>
      </c>
    </row>
    <row r="155" spans="1:18" x14ac:dyDescent="0.2">
      <c r="A155" s="50">
        <f t="shared" si="13"/>
        <v>152</v>
      </c>
      <c r="B155" s="57">
        <v>1</v>
      </c>
      <c r="C155" s="57">
        <v>0</v>
      </c>
      <c r="D155" s="57">
        <v>0</v>
      </c>
      <c r="E155" s="57">
        <v>1</v>
      </c>
      <c r="F155" s="57">
        <v>1</v>
      </c>
      <c r="G155" s="57">
        <v>0</v>
      </c>
      <c r="H155" s="57">
        <v>0</v>
      </c>
      <c r="I155" s="57">
        <v>0</v>
      </c>
      <c r="J155" s="58">
        <f t="shared" si="15"/>
        <v>128</v>
      </c>
      <c r="K155" s="57">
        <f t="shared" si="15"/>
        <v>0</v>
      </c>
      <c r="L155" s="57">
        <f t="shared" si="15"/>
        <v>0</v>
      </c>
      <c r="M155" s="57">
        <f t="shared" si="15"/>
        <v>16</v>
      </c>
      <c r="N155" s="57">
        <f t="shared" si="15"/>
        <v>8</v>
      </c>
      <c r="O155" s="57">
        <f t="shared" si="14"/>
        <v>0</v>
      </c>
      <c r="P155" s="57">
        <f t="shared" si="14"/>
        <v>0</v>
      </c>
      <c r="Q155" s="57">
        <f t="shared" si="14"/>
        <v>0</v>
      </c>
      <c r="R155" s="54">
        <f t="shared" si="12"/>
        <v>152</v>
      </c>
    </row>
    <row r="156" spans="1:18" x14ac:dyDescent="0.2">
      <c r="A156" s="50">
        <f t="shared" si="13"/>
        <v>153</v>
      </c>
      <c r="B156" s="57">
        <v>1</v>
      </c>
      <c r="C156" s="57">
        <v>0</v>
      </c>
      <c r="D156" s="57">
        <v>0</v>
      </c>
      <c r="E156" s="57">
        <v>1</v>
      </c>
      <c r="F156" s="57">
        <v>1</v>
      </c>
      <c r="G156" s="57">
        <v>0</v>
      </c>
      <c r="H156" s="57">
        <v>0</v>
      </c>
      <c r="I156" s="57">
        <v>1</v>
      </c>
      <c r="J156" s="58">
        <f t="shared" si="15"/>
        <v>128</v>
      </c>
      <c r="K156" s="57">
        <f t="shared" si="15"/>
        <v>0</v>
      </c>
      <c r="L156" s="57">
        <f t="shared" si="15"/>
        <v>0</v>
      </c>
      <c r="M156" s="57">
        <f t="shared" si="15"/>
        <v>16</v>
      </c>
      <c r="N156" s="57">
        <f t="shared" si="15"/>
        <v>8</v>
      </c>
      <c r="O156" s="57">
        <f t="shared" si="14"/>
        <v>0</v>
      </c>
      <c r="P156" s="57">
        <f t="shared" si="14"/>
        <v>0</v>
      </c>
      <c r="Q156" s="57">
        <f t="shared" si="14"/>
        <v>1</v>
      </c>
      <c r="R156" s="54">
        <f t="shared" si="12"/>
        <v>153</v>
      </c>
    </row>
    <row r="157" spans="1:18" x14ac:dyDescent="0.2">
      <c r="A157" s="50">
        <f t="shared" si="13"/>
        <v>154</v>
      </c>
      <c r="B157" s="57">
        <v>1</v>
      </c>
      <c r="C157" s="57">
        <v>0</v>
      </c>
      <c r="D157" s="57">
        <v>0</v>
      </c>
      <c r="E157" s="57">
        <v>1</v>
      </c>
      <c r="F157" s="57">
        <v>1</v>
      </c>
      <c r="G157" s="57">
        <v>0</v>
      </c>
      <c r="H157" s="57">
        <v>1</v>
      </c>
      <c r="I157" s="57">
        <v>0</v>
      </c>
      <c r="J157" s="58">
        <f t="shared" si="15"/>
        <v>128</v>
      </c>
      <c r="K157" s="57">
        <f t="shared" si="15"/>
        <v>0</v>
      </c>
      <c r="L157" s="57">
        <f t="shared" si="15"/>
        <v>0</v>
      </c>
      <c r="M157" s="57">
        <f t="shared" si="15"/>
        <v>16</v>
      </c>
      <c r="N157" s="57">
        <f t="shared" si="15"/>
        <v>8</v>
      </c>
      <c r="O157" s="57">
        <f t="shared" si="14"/>
        <v>0</v>
      </c>
      <c r="P157" s="57">
        <f t="shared" si="14"/>
        <v>2</v>
      </c>
      <c r="Q157" s="57">
        <f t="shared" si="14"/>
        <v>0</v>
      </c>
      <c r="R157" s="54">
        <f t="shared" si="12"/>
        <v>154</v>
      </c>
    </row>
    <row r="158" spans="1:18" x14ac:dyDescent="0.2">
      <c r="A158" s="50">
        <f t="shared" si="13"/>
        <v>155</v>
      </c>
      <c r="B158" s="57">
        <v>1</v>
      </c>
      <c r="C158" s="57">
        <v>0</v>
      </c>
      <c r="D158" s="57">
        <v>0</v>
      </c>
      <c r="E158" s="57">
        <v>1</v>
      </c>
      <c r="F158" s="57">
        <v>1</v>
      </c>
      <c r="G158" s="57">
        <v>0</v>
      </c>
      <c r="H158" s="57">
        <v>1</v>
      </c>
      <c r="I158" s="57">
        <v>1</v>
      </c>
      <c r="J158" s="58">
        <f t="shared" si="15"/>
        <v>128</v>
      </c>
      <c r="K158" s="57">
        <f t="shared" si="15"/>
        <v>0</v>
      </c>
      <c r="L158" s="57">
        <f t="shared" si="15"/>
        <v>0</v>
      </c>
      <c r="M158" s="57">
        <f t="shared" si="15"/>
        <v>16</v>
      </c>
      <c r="N158" s="57">
        <f t="shared" si="15"/>
        <v>8</v>
      </c>
      <c r="O158" s="57">
        <f t="shared" si="14"/>
        <v>0</v>
      </c>
      <c r="P158" s="57">
        <f t="shared" si="14"/>
        <v>2</v>
      </c>
      <c r="Q158" s="57">
        <f t="shared" si="14"/>
        <v>1</v>
      </c>
      <c r="R158" s="54">
        <f t="shared" si="12"/>
        <v>155</v>
      </c>
    </row>
    <row r="159" spans="1:18" x14ac:dyDescent="0.2">
      <c r="A159" s="50">
        <f t="shared" si="13"/>
        <v>156</v>
      </c>
      <c r="B159" s="57">
        <v>1</v>
      </c>
      <c r="C159" s="57">
        <v>0</v>
      </c>
      <c r="D159" s="57">
        <v>0</v>
      </c>
      <c r="E159" s="57">
        <v>1</v>
      </c>
      <c r="F159" s="57">
        <v>1</v>
      </c>
      <c r="G159" s="57">
        <v>1</v>
      </c>
      <c r="H159" s="57">
        <v>0</v>
      </c>
      <c r="I159" s="57">
        <v>0</v>
      </c>
      <c r="J159" s="58">
        <f t="shared" si="15"/>
        <v>128</v>
      </c>
      <c r="K159" s="57">
        <f t="shared" si="15"/>
        <v>0</v>
      </c>
      <c r="L159" s="57">
        <f t="shared" si="15"/>
        <v>0</v>
      </c>
      <c r="M159" s="57">
        <f t="shared" si="15"/>
        <v>16</v>
      </c>
      <c r="N159" s="57">
        <f t="shared" si="15"/>
        <v>8</v>
      </c>
      <c r="O159" s="57">
        <f t="shared" si="14"/>
        <v>4</v>
      </c>
      <c r="P159" s="57">
        <f t="shared" si="14"/>
        <v>0</v>
      </c>
      <c r="Q159" s="57">
        <f t="shared" si="14"/>
        <v>0</v>
      </c>
      <c r="R159" s="54">
        <f t="shared" si="12"/>
        <v>156</v>
      </c>
    </row>
    <row r="160" spans="1:18" x14ac:dyDescent="0.2">
      <c r="A160" s="50">
        <f t="shared" si="13"/>
        <v>157</v>
      </c>
      <c r="B160" s="57">
        <v>1</v>
      </c>
      <c r="C160" s="57">
        <v>0</v>
      </c>
      <c r="D160" s="57">
        <v>0</v>
      </c>
      <c r="E160" s="57">
        <v>1</v>
      </c>
      <c r="F160" s="57">
        <v>1</v>
      </c>
      <c r="G160" s="57">
        <v>1</v>
      </c>
      <c r="H160" s="57">
        <v>0</v>
      </c>
      <c r="I160" s="57">
        <v>1</v>
      </c>
      <c r="J160" s="58">
        <f t="shared" si="15"/>
        <v>128</v>
      </c>
      <c r="K160" s="57">
        <f t="shared" si="15"/>
        <v>0</v>
      </c>
      <c r="L160" s="57">
        <f t="shared" si="15"/>
        <v>0</v>
      </c>
      <c r="M160" s="57">
        <f t="shared" si="15"/>
        <v>16</v>
      </c>
      <c r="N160" s="57">
        <f t="shared" si="15"/>
        <v>8</v>
      </c>
      <c r="O160" s="57">
        <f t="shared" si="14"/>
        <v>4</v>
      </c>
      <c r="P160" s="57">
        <f t="shared" si="14"/>
        <v>0</v>
      </c>
      <c r="Q160" s="57">
        <f t="shared" si="14"/>
        <v>1</v>
      </c>
      <c r="R160" s="54">
        <f t="shared" si="12"/>
        <v>157</v>
      </c>
    </row>
    <row r="161" spans="1:18" x14ac:dyDescent="0.2">
      <c r="A161" s="50">
        <f t="shared" si="13"/>
        <v>158</v>
      </c>
      <c r="B161" s="57">
        <v>1</v>
      </c>
      <c r="C161" s="57">
        <v>0</v>
      </c>
      <c r="D161" s="57">
        <v>0</v>
      </c>
      <c r="E161" s="57">
        <v>1</v>
      </c>
      <c r="F161" s="57">
        <v>1</v>
      </c>
      <c r="G161" s="57">
        <v>1</v>
      </c>
      <c r="H161" s="57">
        <v>1</v>
      </c>
      <c r="I161" s="57">
        <v>0</v>
      </c>
      <c r="J161" s="58">
        <f t="shared" si="15"/>
        <v>128</v>
      </c>
      <c r="K161" s="57">
        <f t="shared" si="15"/>
        <v>0</v>
      </c>
      <c r="L161" s="57">
        <f t="shared" si="15"/>
        <v>0</v>
      </c>
      <c r="M161" s="57">
        <f t="shared" si="15"/>
        <v>16</v>
      </c>
      <c r="N161" s="57">
        <f t="shared" si="15"/>
        <v>8</v>
      </c>
      <c r="O161" s="57">
        <f t="shared" si="14"/>
        <v>4</v>
      </c>
      <c r="P161" s="57">
        <f t="shared" si="14"/>
        <v>2</v>
      </c>
      <c r="Q161" s="57">
        <f t="shared" si="14"/>
        <v>0</v>
      </c>
      <c r="R161" s="54">
        <f t="shared" si="12"/>
        <v>158</v>
      </c>
    </row>
    <row r="162" spans="1:18" x14ac:dyDescent="0.2">
      <c r="A162" s="50">
        <f t="shared" si="13"/>
        <v>159</v>
      </c>
      <c r="B162" s="57">
        <v>1</v>
      </c>
      <c r="C162" s="57">
        <v>0</v>
      </c>
      <c r="D162" s="57">
        <v>0</v>
      </c>
      <c r="E162" s="57">
        <v>1</v>
      </c>
      <c r="F162" s="57">
        <v>1</v>
      </c>
      <c r="G162" s="57">
        <v>1</v>
      </c>
      <c r="H162" s="57">
        <v>1</v>
      </c>
      <c r="I162" s="57">
        <v>1</v>
      </c>
      <c r="J162" s="58">
        <f t="shared" si="15"/>
        <v>128</v>
      </c>
      <c r="K162" s="57">
        <f t="shared" si="15"/>
        <v>0</v>
      </c>
      <c r="L162" s="57">
        <f t="shared" si="15"/>
        <v>0</v>
      </c>
      <c r="M162" s="57">
        <f t="shared" si="15"/>
        <v>16</v>
      </c>
      <c r="N162" s="57">
        <f t="shared" si="15"/>
        <v>8</v>
      </c>
      <c r="O162" s="57">
        <f t="shared" si="14"/>
        <v>4</v>
      </c>
      <c r="P162" s="57">
        <f t="shared" si="14"/>
        <v>2</v>
      </c>
      <c r="Q162" s="57">
        <f t="shared" si="14"/>
        <v>1</v>
      </c>
      <c r="R162" s="54">
        <f t="shared" si="12"/>
        <v>159</v>
      </c>
    </row>
    <row r="163" spans="1:18" x14ac:dyDescent="0.2">
      <c r="A163" s="50">
        <f t="shared" si="13"/>
        <v>160</v>
      </c>
      <c r="B163" s="57">
        <v>1</v>
      </c>
      <c r="C163" s="57">
        <v>0</v>
      </c>
      <c r="D163" s="57">
        <v>1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8">
        <f t="shared" si="15"/>
        <v>128</v>
      </c>
      <c r="K163" s="57">
        <f t="shared" si="15"/>
        <v>0</v>
      </c>
      <c r="L163" s="57">
        <f t="shared" si="15"/>
        <v>32</v>
      </c>
      <c r="M163" s="57">
        <f t="shared" si="15"/>
        <v>0</v>
      </c>
      <c r="N163" s="57">
        <f t="shared" si="15"/>
        <v>0</v>
      </c>
      <c r="O163" s="57">
        <f t="shared" si="14"/>
        <v>0</v>
      </c>
      <c r="P163" s="57">
        <f t="shared" si="14"/>
        <v>0</v>
      </c>
      <c r="Q163" s="57">
        <f t="shared" si="14"/>
        <v>0</v>
      </c>
      <c r="R163" s="54">
        <f t="shared" si="12"/>
        <v>160</v>
      </c>
    </row>
    <row r="164" spans="1:18" x14ac:dyDescent="0.2">
      <c r="A164" s="50">
        <f t="shared" si="13"/>
        <v>161</v>
      </c>
      <c r="B164" s="57">
        <v>1</v>
      </c>
      <c r="C164" s="57">
        <v>0</v>
      </c>
      <c r="D164" s="57">
        <v>1</v>
      </c>
      <c r="E164" s="57">
        <v>0</v>
      </c>
      <c r="F164" s="57">
        <v>0</v>
      </c>
      <c r="G164" s="57">
        <v>0</v>
      </c>
      <c r="H164" s="57">
        <v>0</v>
      </c>
      <c r="I164" s="57">
        <v>1</v>
      </c>
      <c r="J164" s="58">
        <f t="shared" si="15"/>
        <v>128</v>
      </c>
      <c r="K164" s="57">
        <f t="shared" si="15"/>
        <v>0</v>
      </c>
      <c r="L164" s="57">
        <f t="shared" si="15"/>
        <v>32</v>
      </c>
      <c r="M164" s="57">
        <f t="shared" si="15"/>
        <v>0</v>
      </c>
      <c r="N164" s="57">
        <f t="shared" si="15"/>
        <v>0</v>
      </c>
      <c r="O164" s="57">
        <f t="shared" si="14"/>
        <v>0</v>
      </c>
      <c r="P164" s="57">
        <f t="shared" si="14"/>
        <v>0</v>
      </c>
      <c r="Q164" s="57">
        <f t="shared" si="14"/>
        <v>1</v>
      </c>
      <c r="R164" s="54">
        <f t="shared" si="12"/>
        <v>161</v>
      </c>
    </row>
    <row r="165" spans="1:18" x14ac:dyDescent="0.2">
      <c r="A165" s="50">
        <f t="shared" si="13"/>
        <v>162</v>
      </c>
      <c r="B165" s="57">
        <v>1</v>
      </c>
      <c r="C165" s="57">
        <v>0</v>
      </c>
      <c r="D165" s="57">
        <v>1</v>
      </c>
      <c r="E165" s="57">
        <v>0</v>
      </c>
      <c r="F165" s="57">
        <v>0</v>
      </c>
      <c r="G165" s="57">
        <v>0</v>
      </c>
      <c r="H165" s="57">
        <v>1</v>
      </c>
      <c r="I165" s="57">
        <v>0</v>
      </c>
      <c r="J165" s="58">
        <f t="shared" si="15"/>
        <v>128</v>
      </c>
      <c r="K165" s="57">
        <f t="shared" si="15"/>
        <v>0</v>
      </c>
      <c r="L165" s="57">
        <f t="shared" si="15"/>
        <v>32</v>
      </c>
      <c r="M165" s="57">
        <f t="shared" si="15"/>
        <v>0</v>
      </c>
      <c r="N165" s="57">
        <f t="shared" si="15"/>
        <v>0</v>
      </c>
      <c r="O165" s="57">
        <f t="shared" si="14"/>
        <v>0</v>
      </c>
      <c r="P165" s="57">
        <f t="shared" si="14"/>
        <v>2</v>
      </c>
      <c r="Q165" s="57">
        <f t="shared" si="14"/>
        <v>0</v>
      </c>
      <c r="R165" s="54">
        <f t="shared" si="12"/>
        <v>162</v>
      </c>
    </row>
    <row r="166" spans="1:18" x14ac:dyDescent="0.2">
      <c r="A166" s="50">
        <f t="shared" si="13"/>
        <v>163</v>
      </c>
      <c r="B166" s="57">
        <v>1</v>
      </c>
      <c r="C166" s="57">
        <v>0</v>
      </c>
      <c r="D166" s="57">
        <v>1</v>
      </c>
      <c r="E166" s="57">
        <v>0</v>
      </c>
      <c r="F166" s="57">
        <v>0</v>
      </c>
      <c r="G166" s="57">
        <v>0</v>
      </c>
      <c r="H166" s="57">
        <v>1</v>
      </c>
      <c r="I166" s="57">
        <v>1</v>
      </c>
      <c r="J166" s="58">
        <f t="shared" si="15"/>
        <v>128</v>
      </c>
      <c r="K166" s="57">
        <f t="shared" si="15"/>
        <v>0</v>
      </c>
      <c r="L166" s="57">
        <f t="shared" si="15"/>
        <v>32</v>
      </c>
      <c r="M166" s="57">
        <f t="shared" si="15"/>
        <v>0</v>
      </c>
      <c r="N166" s="57">
        <f t="shared" si="15"/>
        <v>0</v>
      </c>
      <c r="O166" s="57">
        <f t="shared" si="14"/>
        <v>0</v>
      </c>
      <c r="P166" s="57">
        <f t="shared" si="14"/>
        <v>2</v>
      </c>
      <c r="Q166" s="57">
        <f t="shared" si="14"/>
        <v>1</v>
      </c>
      <c r="R166" s="54">
        <f t="shared" si="12"/>
        <v>163</v>
      </c>
    </row>
    <row r="167" spans="1:18" x14ac:dyDescent="0.2">
      <c r="A167" s="50">
        <f t="shared" si="13"/>
        <v>164</v>
      </c>
      <c r="B167" s="57">
        <v>1</v>
      </c>
      <c r="C167" s="57">
        <v>0</v>
      </c>
      <c r="D167" s="57">
        <v>1</v>
      </c>
      <c r="E167" s="57">
        <v>0</v>
      </c>
      <c r="F167" s="57">
        <v>0</v>
      </c>
      <c r="G167" s="57">
        <v>1</v>
      </c>
      <c r="H167" s="57">
        <v>0</v>
      </c>
      <c r="I167" s="57">
        <v>0</v>
      </c>
      <c r="J167" s="58">
        <f t="shared" si="15"/>
        <v>128</v>
      </c>
      <c r="K167" s="57">
        <f t="shared" si="15"/>
        <v>0</v>
      </c>
      <c r="L167" s="57">
        <f t="shared" si="15"/>
        <v>32</v>
      </c>
      <c r="M167" s="57">
        <f t="shared" si="15"/>
        <v>0</v>
      </c>
      <c r="N167" s="57">
        <f t="shared" si="15"/>
        <v>0</v>
      </c>
      <c r="O167" s="57">
        <f t="shared" si="14"/>
        <v>4</v>
      </c>
      <c r="P167" s="57">
        <f t="shared" si="14"/>
        <v>0</v>
      </c>
      <c r="Q167" s="57">
        <f t="shared" si="14"/>
        <v>0</v>
      </c>
      <c r="R167" s="54">
        <f t="shared" si="12"/>
        <v>164</v>
      </c>
    </row>
    <row r="168" spans="1:18" x14ac:dyDescent="0.2">
      <c r="A168" s="50">
        <f t="shared" si="13"/>
        <v>165</v>
      </c>
      <c r="B168" s="57">
        <v>1</v>
      </c>
      <c r="C168" s="57">
        <v>0</v>
      </c>
      <c r="D168" s="57">
        <v>1</v>
      </c>
      <c r="E168" s="57">
        <v>0</v>
      </c>
      <c r="F168" s="57">
        <v>0</v>
      </c>
      <c r="G168" s="57">
        <v>1</v>
      </c>
      <c r="H168" s="57">
        <v>0</v>
      </c>
      <c r="I168" s="57">
        <v>1</v>
      </c>
      <c r="J168" s="58">
        <f t="shared" si="15"/>
        <v>128</v>
      </c>
      <c r="K168" s="57">
        <f t="shared" si="15"/>
        <v>0</v>
      </c>
      <c r="L168" s="57">
        <f t="shared" si="15"/>
        <v>32</v>
      </c>
      <c r="M168" s="57">
        <f t="shared" si="15"/>
        <v>0</v>
      </c>
      <c r="N168" s="57">
        <f t="shared" si="15"/>
        <v>0</v>
      </c>
      <c r="O168" s="57">
        <f t="shared" si="14"/>
        <v>4</v>
      </c>
      <c r="P168" s="57">
        <f t="shared" si="14"/>
        <v>0</v>
      </c>
      <c r="Q168" s="57">
        <f t="shared" si="14"/>
        <v>1</v>
      </c>
      <c r="R168" s="54">
        <f t="shared" si="12"/>
        <v>165</v>
      </c>
    </row>
    <row r="169" spans="1:18" x14ac:dyDescent="0.2">
      <c r="A169" s="50">
        <f t="shared" si="13"/>
        <v>166</v>
      </c>
      <c r="B169" s="57">
        <v>1</v>
      </c>
      <c r="C169" s="57">
        <v>0</v>
      </c>
      <c r="D169" s="57">
        <v>1</v>
      </c>
      <c r="E169" s="57">
        <v>0</v>
      </c>
      <c r="F169" s="57">
        <v>0</v>
      </c>
      <c r="G169" s="57">
        <v>1</v>
      </c>
      <c r="H169" s="57">
        <v>1</v>
      </c>
      <c r="I169" s="57">
        <v>0</v>
      </c>
      <c r="J169" s="58">
        <f t="shared" si="15"/>
        <v>128</v>
      </c>
      <c r="K169" s="57">
        <f t="shared" si="15"/>
        <v>0</v>
      </c>
      <c r="L169" s="57">
        <f t="shared" si="15"/>
        <v>32</v>
      </c>
      <c r="M169" s="57">
        <f t="shared" si="15"/>
        <v>0</v>
      </c>
      <c r="N169" s="57">
        <f t="shared" si="15"/>
        <v>0</v>
      </c>
      <c r="O169" s="57">
        <f t="shared" si="14"/>
        <v>4</v>
      </c>
      <c r="P169" s="57">
        <f t="shared" si="14"/>
        <v>2</v>
      </c>
      <c r="Q169" s="57">
        <f t="shared" si="14"/>
        <v>0</v>
      </c>
      <c r="R169" s="54">
        <f t="shared" si="12"/>
        <v>166</v>
      </c>
    </row>
    <row r="170" spans="1:18" x14ac:dyDescent="0.2">
      <c r="A170" s="50">
        <f t="shared" si="13"/>
        <v>167</v>
      </c>
      <c r="B170" s="57">
        <v>1</v>
      </c>
      <c r="C170" s="57">
        <v>0</v>
      </c>
      <c r="D170" s="57">
        <v>1</v>
      </c>
      <c r="E170" s="57">
        <v>0</v>
      </c>
      <c r="F170" s="57">
        <v>0</v>
      </c>
      <c r="G170" s="57">
        <v>1</v>
      </c>
      <c r="H170" s="57">
        <v>1</v>
      </c>
      <c r="I170" s="57">
        <v>1</v>
      </c>
      <c r="J170" s="58">
        <f t="shared" si="15"/>
        <v>128</v>
      </c>
      <c r="K170" s="57">
        <f t="shared" si="15"/>
        <v>0</v>
      </c>
      <c r="L170" s="57">
        <f t="shared" si="15"/>
        <v>32</v>
      </c>
      <c r="M170" s="57">
        <f t="shared" si="15"/>
        <v>0</v>
      </c>
      <c r="N170" s="57">
        <f t="shared" si="15"/>
        <v>0</v>
      </c>
      <c r="O170" s="57">
        <f t="shared" si="14"/>
        <v>4</v>
      </c>
      <c r="P170" s="57">
        <f t="shared" si="14"/>
        <v>2</v>
      </c>
      <c r="Q170" s="57">
        <f t="shared" si="14"/>
        <v>1</v>
      </c>
      <c r="R170" s="54">
        <f t="shared" si="12"/>
        <v>167</v>
      </c>
    </row>
    <row r="171" spans="1:18" x14ac:dyDescent="0.2">
      <c r="A171" s="50">
        <f t="shared" si="13"/>
        <v>168</v>
      </c>
      <c r="B171" s="57">
        <v>1</v>
      </c>
      <c r="C171" s="57">
        <v>0</v>
      </c>
      <c r="D171" s="57">
        <v>1</v>
      </c>
      <c r="E171" s="57">
        <v>0</v>
      </c>
      <c r="F171" s="57">
        <v>1</v>
      </c>
      <c r="G171" s="57">
        <v>0</v>
      </c>
      <c r="H171" s="57">
        <v>0</v>
      </c>
      <c r="I171" s="57">
        <v>0</v>
      </c>
      <c r="J171" s="58">
        <f t="shared" si="15"/>
        <v>128</v>
      </c>
      <c r="K171" s="57">
        <f t="shared" si="15"/>
        <v>0</v>
      </c>
      <c r="L171" s="57">
        <f t="shared" si="15"/>
        <v>32</v>
      </c>
      <c r="M171" s="57">
        <f t="shared" si="15"/>
        <v>0</v>
      </c>
      <c r="N171" s="57">
        <f t="shared" si="15"/>
        <v>8</v>
      </c>
      <c r="O171" s="57">
        <f t="shared" si="14"/>
        <v>0</v>
      </c>
      <c r="P171" s="57">
        <f t="shared" si="14"/>
        <v>0</v>
      </c>
      <c r="Q171" s="57">
        <f t="shared" si="14"/>
        <v>0</v>
      </c>
      <c r="R171" s="54">
        <f t="shared" si="12"/>
        <v>168</v>
      </c>
    </row>
    <row r="172" spans="1:18" x14ac:dyDescent="0.2">
      <c r="A172" s="50">
        <f t="shared" si="13"/>
        <v>169</v>
      </c>
      <c r="B172" s="57">
        <v>1</v>
      </c>
      <c r="C172" s="57">
        <v>0</v>
      </c>
      <c r="D172" s="57">
        <v>1</v>
      </c>
      <c r="E172" s="57">
        <v>0</v>
      </c>
      <c r="F172" s="57">
        <v>1</v>
      </c>
      <c r="G172" s="57">
        <v>0</v>
      </c>
      <c r="H172" s="57">
        <v>0</v>
      </c>
      <c r="I172" s="57">
        <v>1</v>
      </c>
      <c r="J172" s="58">
        <f t="shared" si="15"/>
        <v>128</v>
      </c>
      <c r="K172" s="57">
        <f t="shared" si="15"/>
        <v>0</v>
      </c>
      <c r="L172" s="57">
        <f t="shared" si="15"/>
        <v>32</v>
      </c>
      <c r="M172" s="57">
        <f t="shared" si="15"/>
        <v>0</v>
      </c>
      <c r="N172" s="57">
        <f t="shared" si="15"/>
        <v>8</v>
      </c>
      <c r="O172" s="57">
        <f t="shared" si="14"/>
        <v>0</v>
      </c>
      <c r="P172" s="57">
        <f t="shared" si="14"/>
        <v>0</v>
      </c>
      <c r="Q172" s="57">
        <f t="shared" si="14"/>
        <v>1</v>
      </c>
      <c r="R172" s="54">
        <f t="shared" si="12"/>
        <v>169</v>
      </c>
    </row>
    <row r="173" spans="1:18" x14ac:dyDescent="0.2">
      <c r="A173" s="50">
        <f t="shared" si="13"/>
        <v>170</v>
      </c>
      <c r="B173" s="57">
        <v>1</v>
      </c>
      <c r="C173" s="57">
        <v>0</v>
      </c>
      <c r="D173" s="57">
        <v>1</v>
      </c>
      <c r="E173" s="57">
        <v>0</v>
      </c>
      <c r="F173" s="57">
        <v>1</v>
      </c>
      <c r="G173" s="57">
        <v>0</v>
      </c>
      <c r="H173" s="57">
        <v>1</v>
      </c>
      <c r="I173" s="57">
        <v>0</v>
      </c>
      <c r="J173" s="58">
        <f t="shared" si="15"/>
        <v>128</v>
      </c>
      <c r="K173" s="57">
        <f t="shared" si="15"/>
        <v>0</v>
      </c>
      <c r="L173" s="57">
        <f t="shared" si="15"/>
        <v>32</v>
      </c>
      <c r="M173" s="57">
        <f t="shared" si="15"/>
        <v>0</v>
      </c>
      <c r="N173" s="57">
        <f t="shared" si="15"/>
        <v>8</v>
      </c>
      <c r="O173" s="57">
        <f t="shared" si="14"/>
        <v>0</v>
      </c>
      <c r="P173" s="57">
        <f t="shared" si="14"/>
        <v>2</v>
      </c>
      <c r="Q173" s="57">
        <f t="shared" si="14"/>
        <v>0</v>
      </c>
      <c r="R173" s="54">
        <f t="shared" si="12"/>
        <v>170</v>
      </c>
    </row>
    <row r="174" spans="1:18" x14ac:dyDescent="0.2">
      <c r="A174" s="50">
        <f t="shared" si="13"/>
        <v>171</v>
      </c>
      <c r="B174" s="57">
        <v>1</v>
      </c>
      <c r="C174" s="57">
        <v>0</v>
      </c>
      <c r="D174" s="57">
        <v>1</v>
      </c>
      <c r="E174" s="57">
        <v>0</v>
      </c>
      <c r="F174" s="57">
        <v>1</v>
      </c>
      <c r="G174" s="57">
        <v>0</v>
      </c>
      <c r="H174" s="57">
        <v>1</v>
      </c>
      <c r="I174" s="57">
        <v>1</v>
      </c>
      <c r="J174" s="58">
        <f t="shared" si="15"/>
        <v>128</v>
      </c>
      <c r="K174" s="57">
        <f t="shared" si="15"/>
        <v>0</v>
      </c>
      <c r="L174" s="57">
        <f t="shared" si="15"/>
        <v>32</v>
      </c>
      <c r="M174" s="57">
        <f t="shared" si="15"/>
        <v>0</v>
      </c>
      <c r="N174" s="57">
        <f t="shared" si="15"/>
        <v>8</v>
      </c>
      <c r="O174" s="57">
        <f t="shared" si="14"/>
        <v>0</v>
      </c>
      <c r="P174" s="57">
        <f t="shared" si="14"/>
        <v>2</v>
      </c>
      <c r="Q174" s="57">
        <f t="shared" si="14"/>
        <v>1</v>
      </c>
      <c r="R174" s="54">
        <f t="shared" si="12"/>
        <v>171</v>
      </c>
    </row>
    <row r="175" spans="1:18" x14ac:dyDescent="0.2">
      <c r="A175" s="50">
        <f t="shared" si="13"/>
        <v>172</v>
      </c>
      <c r="B175" s="57">
        <v>1</v>
      </c>
      <c r="C175" s="57">
        <v>0</v>
      </c>
      <c r="D175" s="57">
        <v>1</v>
      </c>
      <c r="E175" s="57">
        <v>0</v>
      </c>
      <c r="F175" s="57">
        <v>1</v>
      </c>
      <c r="G175" s="57">
        <v>1</v>
      </c>
      <c r="H175" s="57">
        <v>0</v>
      </c>
      <c r="I175" s="57">
        <v>0</v>
      </c>
      <c r="J175" s="58">
        <f t="shared" si="15"/>
        <v>128</v>
      </c>
      <c r="K175" s="57">
        <f t="shared" si="15"/>
        <v>0</v>
      </c>
      <c r="L175" s="57">
        <f t="shared" si="15"/>
        <v>32</v>
      </c>
      <c r="M175" s="57">
        <f t="shared" si="15"/>
        <v>0</v>
      </c>
      <c r="N175" s="57">
        <f t="shared" si="15"/>
        <v>8</v>
      </c>
      <c r="O175" s="57">
        <f t="shared" si="14"/>
        <v>4</v>
      </c>
      <c r="P175" s="57">
        <f t="shared" si="14"/>
        <v>0</v>
      </c>
      <c r="Q175" s="57">
        <f t="shared" si="14"/>
        <v>0</v>
      </c>
      <c r="R175" s="54">
        <f t="shared" si="12"/>
        <v>172</v>
      </c>
    </row>
    <row r="176" spans="1:18" x14ac:dyDescent="0.2">
      <c r="A176" s="50">
        <f t="shared" si="13"/>
        <v>173</v>
      </c>
      <c r="B176" s="57">
        <v>1</v>
      </c>
      <c r="C176" s="57">
        <v>0</v>
      </c>
      <c r="D176" s="57">
        <v>1</v>
      </c>
      <c r="E176" s="57">
        <v>0</v>
      </c>
      <c r="F176" s="57">
        <v>1</v>
      </c>
      <c r="G176" s="57">
        <v>1</v>
      </c>
      <c r="H176" s="57">
        <v>0</v>
      </c>
      <c r="I176" s="57">
        <v>1</v>
      </c>
      <c r="J176" s="58">
        <f t="shared" si="15"/>
        <v>128</v>
      </c>
      <c r="K176" s="57">
        <f t="shared" si="15"/>
        <v>0</v>
      </c>
      <c r="L176" s="57">
        <f t="shared" si="15"/>
        <v>32</v>
      </c>
      <c r="M176" s="57">
        <f t="shared" si="15"/>
        <v>0</v>
      </c>
      <c r="N176" s="57">
        <f t="shared" si="15"/>
        <v>8</v>
      </c>
      <c r="O176" s="57">
        <f t="shared" si="14"/>
        <v>4</v>
      </c>
      <c r="P176" s="57">
        <f t="shared" si="14"/>
        <v>0</v>
      </c>
      <c r="Q176" s="57">
        <f t="shared" si="14"/>
        <v>1</v>
      </c>
      <c r="R176" s="54">
        <f t="shared" si="12"/>
        <v>173</v>
      </c>
    </row>
    <row r="177" spans="1:18" x14ac:dyDescent="0.2">
      <c r="A177" s="50">
        <f t="shared" si="13"/>
        <v>174</v>
      </c>
      <c r="B177" s="57">
        <v>1</v>
      </c>
      <c r="C177" s="57">
        <v>0</v>
      </c>
      <c r="D177" s="57">
        <v>1</v>
      </c>
      <c r="E177" s="57">
        <v>0</v>
      </c>
      <c r="F177" s="57">
        <v>1</v>
      </c>
      <c r="G177" s="57">
        <v>1</v>
      </c>
      <c r="H177" s="57">
        <v>1</v>
      </c>
      <c r="I177" s="57">
        <v>0</v>
      </c>
      <c r="J177" s="58">
        <f t="shared" si="15"/>
        <v>128</v>
      </c>
      <c r="K177" s="57">
        <f t="shared" si="15"/>
        <v>0</v>
      </c>
      <c r="L177" s="57">
        <f t="shared" si="15"/>
        <v>32</v>
      </c>
      <c r="M177" s="57">
        <f t="shared" si="15"/>
        <v>0</v>
      </c>
      <c r="N177" s="57">
        <f t="shared" si="15"/>
        <v>8</v>
      </c>
      <c r="O177" s="57">
        <f t="shared" si="14"/>
        <v>4</v>
      </c>
      <c r="P177" s="57">
        <f t="shared" si="14"/>
        <v>2</v>
      </c>
      <c r="Q177" s="57">
        <f t="shared" si="14"/>
        <v>0</v>
      </c>
      <c r="R177" s="54">
        <f t="shared" si="12"/>
        <v>174</v>
      </c>
    </row>
    <row r="178" spans="1:18" x14ac:dyDescent="0.2">
      <c r="A178" s="50">
        <f t="shared" si="13"/>
        <v>175</v>
      </c>
      <c r="B178" s="57">
        <v>1</v>
      </c>
      <c r="C178" s="57">
        <v>0</v>
      </c>
      <c r="D178" s="57">
        <v>1</v>
      </c>
      <c r="E178" s="57">
        <v>0</v>
      </c>
      <c r="F178" s="57">
        <v>1</v>
      </c>
      <c r="G178" s="57">
        <v>1</v>
      </c>
      <c r="H178" s="57">
        <v>1</v>
      </c>
      <c r="I178" s="57">
        <v>1</v>
      </c>
      <c r="J178" s="58">
        <f t="shared" si="15"/>
        <v>128</v>
      </c>
      <c r="K178" s="57">
        <f t="shared" si="15"/>
        <v>0</v>
      </c>
      <c r="L178" s="57">
        <f t="shared" si="15"/>
        <v>32</v>
      </c>
      <c r="M178" s="57">
        <f t="shared" si="15"/>
        <v>0</v>
      </c>
      <c r="N178" s="57">
        <f t="shared" si="15"/>
        <v>8</v>
      </c>
      <c r="O178" s="57">
        <f t="shared" si="14"/>
        <v>4</v>
      </c>
      <c r="P178" s="57">
        <f t="shared" si="14"/>
        <v>2</v>
      </c>
      <c r="Q178" s="57">
        <f t="shared" si="14"/>
        <v>1</v>
      </c>
      <c r="R178" s="54">
        <f t="shared" si="12"/>
        <v>175</v>
      </c>
    </row>
    <row r="179" spans="1:18" x14ac:dyDescent="0.2">
      <c r="A179" s="50">
        <f t="shared" si="13"/>
        <v>176</v>
      </c>
      <c r="B179" s="57">
        <v>1</v>
      </c>
      <c r="C179" s="57">
        <v>0</v>
      </c>
      <c r="D179" s="57">
        <v>1</v>
      </c>
      <c r="E179" s="57">
        <v>1</v>
      </c>
      <c r="F179" s="57">
        <v>0</v>
      </c>
      <c r="G179" s="57">
        <v>0</v>
      </c>
      <c r="H179" s="57">
        <v>0</v>
      </c>
      <c r="I179" s="57">
        <v>0</v>
      </c>
      <c r="J179" s="58">
        <f t="shared" si="15"/>
        <v>128</v>
      </c>
      <c r="K179" s="57">
        <f t="shared" si="15"/>
        <v>0</v>
      </c>
      <c r="L179" s="57">
        <f t="shared" si="15"/>
        <v>32</v>
      </c>
      <c r="M179" s="57">
        <f t="shared" si="15"/>
        <v>16</v>
      </c>
      <c r="N179" s="57">
        <f t="shared" si="15"/>
        <v>0</v>
      </c>
      <c r="O179" s="57">
        <f t="shared" si="14"/>
        <v>0</v>
      </c>
      <c r="P179" s="57">
        <f t="shared" si="14"/>
        <v>0</v>
      </c>
      <c r="Q179" s="57">
        <f t="shared" si="14"/>
        <v>0</v>
      </c>
      <c r="R179" s="54">
        <f t="shared" si="12"/>
        <v>176</v>
      </c>
    </row>
    <row r="180" spans="1:18" x14ac:dyDescent="0.2">
      <c r="A180" s="50">
        <f t="shared" si="13"/>
        <v>177</v>
      </c>
      <c r="B180" s="57">
        <v>1</v>
      </c>
      <c r="C180" s="57">
        <v>0</v>
      </c>
      <c r="D180" s="57">
        <v>1</v>
      </c>
      <c r="E180" s="57">
        <v>1</v>
      </c>
      <c r="F180" s="57">
        <v>0</v>
      </c>
      <c r="G180" s="57">
        <v>0</v>
      </c>
      <c r="H180" s="57">
        <v>0</v>
      </c>
      <c r="I180" s="57">
        <v>1</v>
      </c>
      <c r="J180" s="58">
        <f t="shared" si="15"/>
        <v>128</v>
      </c>
      <c r="K180" s="57">
        <f t="shared" si="15"/>
        <v>0</v>
      </c>
      <c r="L180" s="57">
        <f t="shared" si="15"/>
        <v>32</v>
      </c>
      <c r="M180" s="57">
        <f t="shared" si="15"/>
        <v>16</v>
      </c>
      <c r="N180" s="57">
        <f t="shared" si="15"/>
        <v>0</v>
      </c>
      <c r="O180" s="57">
        <f t="shared" si="14"/>
        <v>0</v>
      </c>
      <c r="P180" s="57">
        <f t="shared" si="14"/>
        <v>0</v>
      </c>
      <c r="Q180" s="57">
        <f t="shared" si="14"/>
        <v>1</v>
      </c>
      <c r="R180" s="54">
        <f t="shared" si="12"/>
        <v>177</v>
      </c>
    </row>
    <row r="181" spans="1:18" x14ac:dyDescent="0.2">
      <c r="A181" s="50">
        <f t="shared" si="13"/>
        <v>178</v>
      </c>
      <c r="B181" s="57">
        <v>1</v>
      </c>
      <c r="C181" s="57">
        <v>0</v>
      </c>
      <c r="D181" s="57">
        <v>1</v>
      </c>
      <c r="E181" s="57">
        <v>1</v>
      </c>
      <c r="F181" s="57">
        <v>0</v>
      </c>
      <c r="G181" s="57">
        <v>0</v>
      </c>
      <c r="H181" s="57">
        <v>1</v>
      </c>
      <c r="I181" s="57">
        <v>0</v>
      </c>
      <c r="J181" s="58">
        <f t="shared" si="15"/>
        <v>128</v>
      </c>
      <c r="K181" s="57">
        <f t="shared" si="15"/>
        <v>0</v>
      </c>
      <c r="L181" s="57">
        <f t="shared" si="15"/>
        <v>32</v>
      </c>
      <c r="M181" s="57">
        <f t="shared" si="15"/>
        <v>16</v>
      </c>
      <c r="N181" s="57">
        <f t="shared" si="15"/>
        <v>0</v>
      </c>
      <c r="O181" s="57">
        <f t="shared" si="14"/>
        <v>0</v>
      </c>
      <c r="P181" s="57">
        <f t="shared" si="14"/>
        <v>2</v>
      </c>
      <c r="Q181" s="57">
        <f t="shared" si="14"/>
        <v>0</v>
      </c>
      <c r="R181" s="54">
        <f t="shared" si="12"/>
        <v>178</v>
      </c>
    </row>
    <row r="182" spans="1:18" x14ac:dyDescent="0.2">
      <c r="A182" s="50">
        <f t="shared" si="13"/>
        <v>179</v>
      </c>
      <c r="B182" s="57">
        <v>1</v>
      </c>
      <c r="C182" s="57">
        <v>0</v>
      </c>
      <c r="D182" s="57">
        <v>1</v>
      </c>
      <c r="E182" s="57">
        <v>1</v>
      </c>
      <c r="F182" s="57">
        <v>0</v>
      </c>
      <c r="G182" s="57">
        <v>0</v>
      </c>
      <c r="H182" s="57">
        <v>1</v>
      </c>
      <c r="I182" s="57">
        <v>1</v>
      </c>
      <c r="J182" s="58">
        <f t="shared" si="15"/>
        <v>128</v>
      </c>
      <c r="K182" s="57">
        <f t="shared" si="15"/>
        <v>0</v>
      </c>
      <c r="L182" s="57">
        <f t="shared" si="15"/>
        <v>32</v>
      </c>
      <c r="M182" s="57">
        <f t="shared" si="15"/>
        <v>16</v>
      </c>
      <c r="N182" s="57">
        <f t="shared" si="15"/>
        <v>0</v>
      </c>
      <c r="O182" s="57">
        <f t="shared" si="14"/>
        <v>0</v>
      </c>
      <c r="P182" s="57">
        <f t="shared" si="14"/>
        <v>2</v>
      </c>
      <c r="Q182" s="57">
        <f t="shared" si="14"/>
        <v>1</v>
      </c>
      <c r="R182" s="54">
        <f t="shared" si="12"/>
        <v>179</v>
      </c>
    </row>
    <row r="183" spans="1:18" x14ac:dyDescent="0.2">
      <c r="A183" s="50">
        <f t="shared" si="13"/>
        <v>180</v>
      </c>
      <c r="B183" s="57">
        <v>1</v>
      </c>
      <c r="C183" s="57">
        <v>0</v>
      </c>
      <c r="D183" s="57">
        <v>1</v>
      </c>
      <c r="E183" s="57">
        <v>1</v>
      </c>
      <c r="F183" s="57">
        <v>0</v>
      </c>
      <c r="G183" s="57">
        <v>1</v>
      </c>
      <c r="H183" s="57">
        <v>0</v>
      </c>
      <c r="I183" s="57">
        <v>0</v>
      </c>
      <c r="J183" s="58">
        <f t="shared" si="15"/>
        <v>128</v>
      </c>
      <c r="K183" s="57">
        <f t="shared" si="15"/>
        <v>0</v>
      </c>
      <c r="L183" s="57">
        <f t="shared" si="15"/>
        <v>32</v>
      </c>
      <c r="M183" s="57">
        <f t="shared" si="15"/>
        <v>16</v>
      </c>
      <c r="N183" s="57">
        <f t="shared" si="15"/>
        <v>0</v>
      </c>
      <c r="O183" s="57">
        <f t="shared" si="14"/>
        <v>4</v>
      </c>
      <c r="P183" s="57">
        <f t="shared" si="14"/>
        <v>0</v>
      </c>
      <c r="Q183" s="57">
        <f t="shared" si="14"/>
        <v>0</v>
      </c>
      <c r="R183" s="54">
        <f t="shared" si="12"/>
        <v>180</v>
      </c>
    </row>
    <row r="184" spans="1:18" x14ac:dyDescent="0.2">
      <c r="A184" s="50">
        <f t="shared" si="13"/>
        <v>181</v>
      </c>
      <c r="B184" s="57">
        <v>1</v>
      </c>
      <c r="C184" s="57">
        <v>0</v>
      </c>
      <c r="D184" s="57">
        <v>1</v>
      </c>
      <c r="E184" s="57">
        <v>1</v>
      </c>
      <c r="F184" s="57">
        <v>0</v>
      </c>
      <c r="G184" s="57">
        <v>1</v>
      </c>
      <c r="H184" s="57">
        <v>0</v>
      </c>
      <c r="I184" s="57">
        <v>1</v>
      </c>
      <c r="J184" s="58">
        <f t="shared" si="15"/>
        <v>128</v>
      </c>
      <c r="K184" s="57">
        <f t="shared" si="15"/>
        <v>0</v>
      </c>
      <c r="L184" s="57">
        <f t="shared" si="15"/>
        <v>32</v>
      </c>
      <c r="M184" s="57">
        <f t="shared" si="15"/>
        <v>16</v>
      </c>
      <c r="N184" s="57">
        <f t="shared" si="15"/>
        <v>0</v>
      </c>
      <c r="O184" s="57">
        <f t="shared" si="14"/>
        <v>4</v>
      </c>
      <c r="P184" s="57">
        <f t="shared" si="14"/>
        <v>0</v>
      </c>
      <c r="Q184" s="57">
        <f t="shared" si="14"/>
        <v>1</v>
      </c>
      <c r="R184" s="54">
        <f t="shared" si="12"/>
        <v>181</v>
      </c>
    </row>
    <row r="185" spans="1:18" x14ac:dyDescent="0.2">
      <c r="A185" s="50">
        <f t="shared" si="13"/>
        <v>182</v>
      </c>
      <c r="B185" s="57">
        <v>1</v>
      </c>
      <c r="C185" s="57">
        <v>0</v>
      </c>
      <c r="D185" s="57">
        <v>1</v>
      </c>
      <c r="E185" s="57">
        <v>1</v>
      </c>
      <c r="F185" s="57">
        <v>0</v>
      </c>
      <c r="G185" s="57">
        <v>1</v>
      </c>
      <c r="H185" s="57">
        <v>1</v>
      </c>
      <c r="I185" s="57">
        <v>0</v>
      </c>
      <c r="J185" s="58">
        <f t="shared" si="15"/>
        <v>128</v>
      </c>
      <c r="K185" s="57">
        <f t="shared" si="15"/>
        <v>0</v>
      </c>
      <c r="L185" s="57">
        <f t="shared" si="15"/>
        <v>32</v>
      </c>
      <c r="M185" s="57">
        <f t="shared" si="15"/>
        <v>16</v>
      </c>
      <c r="N185" s="57">
        <f t="shared" si="15"/>
        <v>0</v>
      </c>
      <c r="O185" s="57">
        <f t="shared" si="14"/>
        <v>4</v>
      </c>
      <c r="P185" s="57">
        <f t="shared" si="14"/>
        <v>2</v>
      </c>
      <c r="Q185" s="57">
        <f t="shared" si="14"/>
        <v>0</v>
      </c>
      <c r="R185" s="54">
        <f t="shared" si="12"/>
        <v>182</v>
      </c>
    </row>
    <row r="186" spans="1:18" x14ac:dyDescent="0.2">
      <c r="A186" s="50">
        <f t="shared" si="13"/>
        <v>183</v>
      </c>
      <c r="B186" s="57">
        <v>1</v>
      </c>
      <c r="C186" s="57">
        <v>0</v>
      </c>
      <c r="D186" s="57">
        <v>1</v>
      </c>
      <c r="E186" s="57">
        <v>1</v>
      </c>
      <c r="F186" s="57">
        <v>0</v>
      </c>
      <c r="G186" s="57">
        <v>1</v>
      </c>
      <c r="H186" s="57">
        <v>1</v>
      </c>
      <c r="I186" s="57">
        <v>1</v>
      </c>
      <c r="J186" s="58">
        <f t="shared" si="15"/>
        <v>128</v>
      </c>
      <c r="K186" s="57">
        <f t="shared" si="15"/>
        <v>0</v>
      </c>
      <c r="L186" s="57">
        <f t="shared" si="15"/>
        <v>32</v>
      </c>
      <c r="M186" s="57">
        <f t="shared" si="15"/>
        <v>16</v>
      </c>
      <c r="N186" s="57">
        <f t="shared" si="15"/>
        <v>0</v>
      </c>
      <c r="O186" s="57">
        <f t="shared" si="14"/>
        <v>4</v>
      </c>
      <c r="P186" s="57">
        <f t="shared" si="14"/>
        <v>2</v>
      </c>
      <c r="Q186" s="57">
        <f t="shared" si="14"/>
        <v>1</v>
      </c>
      <c r="R186" s="54">
        <f t="shared" si="12"/>
        <v>183</v>
      </c>
    </row>
    <row r="187" spans="1:18" x14ac:dyDescent="0.2">
      <c r="A187" s="50">
        <f t="shared" si="13"/>
        <v>184</v>
      </c>
      <c r="B187" s="57">
        <v>1</v>
      </c>
      <c r="C187" s="57">
        <v>0</v>
      </c>
      <c r="D187" s="57">
        <v>1</v>
      </c>
      <c r="E187" s="57">
        <v>1</v>
      </c>
      <c r="F187" s="57">
        <v>1</v>
      </c>
      <c r="G187" s="57">
        <v>0</v>
      </c>
      <c r="H187" s="57">
        <v>0</v>
      </c>
      <c r="I187" s="57">
        <v>0</v>
      </c>
      <c r="J187" s="58">
        <f t="shared" si="15"/>
        <v>128</v>
      </c>
      <c r="K187" s="57">
        <f t="shared" si="15"/>
        <v>0</v>
      </c>
      <c r="L187" s="57">
        <f t="shared" si="15"/>
        <v>32</v>
      </c>
      <c r="M187" s="57">
        <f t="shared" si="15"/>
        <v>16</v>
      </c>
      <c r="N187" s="57">
        <f t="shared" si="15"/>
        <v>8</v>
      </c>
      <c r="O187" s="57">
        <f t="shared" si="14"/>
        <v>0</v>
      </c>
      <c r="P187" s="57">
        <f t="shared" si="14"/>
        <v>0</v>
      </c>
      <c r="Q187" s="57">
        <f t="shared" si="14"/>
        <v>0</v>
      </c>
      <c r="R187" s="54">
        <f t="shared" si="12"/>
        <v>184</v>
      </c>
    </row>
    <row r="188" spans="1:18" x14ac:dyDescent="0.2">
      <c r="A188" s="50">
        <f t="shared" si="13"/>
        <v>185</v>
      </c>
      <c r="B188" s="57">
        <v>1</v>
      </c>
      <c r="C188" s="57">
        <v>0</v>
      </c>
      <c r="D188" s="57">
        <v>1</v>
      </c>
      <c r="E188" s="57">
        <v>1</v>
      </c>
      <c r="F188" s="57">
        <v>1</v>
      </c>
      <c r="G188" s="57">
        <v>0</v>
      </c>
      <c r="H188" s="57">
        <v>0</v>
      </c>
      <c r="I188" s="57">
        <v>1</v>
      </c>
      <c r="J188" s="58">
        <f t="shared" si="15"/>
        <v>128</v>
      </c>
      <c r="K188" s="57">
        <f t="shared" si="15"/>
        <v>0</v>
      </c>
      <c r="L188" s="57">
        <f t="shared" si="15"/>
        <v>32</v>
      </c>
      <c r="M188" s="57">
        <f t="shared" si="15"/>
        <v>16</v>
      </c>
      <c r="N188" s="57">
        <f t="shared" si="15"/>
        <v>8</v>
      </c>
      <c r="O188" s="57">
        <f t="shared" si="14"/>
        <v>0</v>
      </c>
      <c r="P188" s="57">
        <f t="shared" si="14"/>
        <v>0</v>
      </c>
      <c r="Q188" s="57">
        <f t="shared" si="14"/>
        <v>1</v>
      </c>
      <c r="R188" s="54">
        <f t="shared" si="12"/>
        <v>185</v>
      </c>
    </row>
    <row r="189" spans="1:18" x14ac:dyDescent="0.2">
      <c r="A189" s="50">
        <f t="shared" si="13"/>
        <v>186</v>
      </c>
      <c r="B189" s="57">
        <v>1</v>
      </c>
      <c r="C189" s="57">
        <v>0</v>
      </c>
      <c r="D189" s="57">
        <v>1</v>
      </c>
      <c r="E189" s="57">
        <v>1</v>
      </c>
      <c r="F189" s="57">
        <v>1</v>
      </c>
      <c r="G189" s="57">
        <v>0</v>
      </c>
      <c r="H189" s="57">
        <v>1</v>
      </c>
      <c r="I189" s="57">
        <v>0</v>
      </c>
      <c r="J189" s="58">
        <f t="shared" si="15"/>
        <v>128</v>
      </c>
      <c r="K189" s="57">
        <f t="shared" si="15"/>
        <v>0</v>
      </c>
      <c r="L189" s="57">
        <f t="shared" si="15"/>
        <v>32</v>
      </c>
      <c r="M189" s="57">
        <f t="shared" si="15"/>
        <v>16</v>
      </c>
      <c r="N189" s="57">
        <f t="shared" si="15"/>
        <v>8</v>
      </c>
      <c r="O189" s="57">
        <f t="shared" si="14"/>
        <v>0</v>
      </c>
      <c r="P189" s="57">
        <f t="shared" si="14"/>
        <v>2</v>
      </c>
      <c r="Q189" s="57">
        <f t="shared" si="14"/>
        <v>0</v>
      </c>
      <c r="R189" s="54">
        <f t="shared" si="12"/>
        <v>186</v>
      </c>
    </row>
    <row r="190" spans="1:18" x14ac:dyDescent="0.2">
      <c r="A190" s="50">
        <f t="shared" si="13"/>
        <v>187</v>
      </c>
      <c r="B190" s="57">
        <v>1</v>
      </c>
      <c r="C190" s="57">
        <v>0</v>
      </c>
      <c r="D190" s="57">
        <v>1</v>
      </c>
      <c r="E190" s="57">
        <v>1</v>
      </c>
      <c r="F190" s="57">
        <v>1</v>
      </c>
      <c r="G190" s="57">
        <v>0</v>
      </c>
      <c r="H190" s="57">
        <v>1</v>
      </c>
      <c r="I190" s="57">
        <v>1</v>
      </c>
      <c r="J190" s="58">
        <f t="shared" si="15"/>
        <v>128</v>
      </c>
      <c r="K190" s="57">
        <f t="shared" si="15"/>
        <v>0</v>
      </c>
      <c r="L190" s="57">
        <f t="shared" si="15"/>
        <v>32</v>
      </c>
      <c r="M190" s="57">
        <f t="shared" si="15"/>
        <v>16</v>
      </c>
      <c r="N190" s="57">
        <f t="shared" si="15"/>
        <v>8</v>
      </c>
      <c r="O190" s="57">
        <f t="shared" si="14"/>
        <v>0</v>
      </c>
      <c r="P190" s="57">
        <f t="shared" si="14"/>
        <v>2</v>
      </c>
      <c r="Q190" s="57">
        <f t="shared" si="14"/>
        <v>1</v>
      </c>
      <c r="R190" s="54">
        <f t="shared" si="12"/>
        <v>187</v>
      </c>
    </row>
    <row r="191" spans="1:18" x14ac:dyDescent="0.2">
      <c r="A191" s="50">
        <f t="shared" si="13"/>
        <v>188</v>
      </c>
      <c r="B191" s="57">
        <v>1</v>
      </c>
      <c r="C191" s="57">
        <v>0</v>
      </c>
      <c r="D191" s="57">
        <v>1</v>
      </c>
      <c r="E191" s="57">
        <v>1</v>
      </c>
      <c r="F191" s="57">
        <v>1</v>
      </c>
      <c r="G191" s="57">
        <v>1</v>
      </c>
      <c r="H191" s="57">
        <v>0</v>
      </c>
      <c r="I191" s="57">
        <v>0</v>
      </c>
      <c r="J191" s="58">
        <f t="shared" si="15"/>
        <v>128</v>
      </c>
      <c r="K191" s="57">
        <f t="shared" si="15"/>
        <v>0</v>
      </c>
      <c r="L191" s="57">
        <f t="shared" si="15"/>
        <v>32</v>
      </c>
      <c r="M191" s="57">
        <f t="shared" si="15"/>
        <v>16</v>
      </c>
      <c r="N191" s="57">
        <f t="shared" si="15"/>
        <v>8</v>
      </c>
      <c r="O191" s="57">
        <f t="shared" si="14"/>
        <v>4</v>
      </c>
      <c r="P191" s="57">
        <f t="shared" si="14"/>
        <v>0</v>
      </c>
      <c r="Q191" s="57">
        <f t="shared" si="14"/>
        <v>0</v>
      </c>
      <c r="R191" s="54">
        <f t="shared" si="12"/>
        <v>188</v>
      </c>
    </row>
    <row r="192" spans="1:18" x14ac:dyDescent="0.2">
      <c r="A192" s="50">
        <f t="shared" si="13"/>
        <v>189</v>
      </c>
      <c r="B192" s="57">
        <v>1</v>
      </c>
      <c r="C192" s="57">
        <v>0</v>
      </c>
      <c r="D192" s="57">
        <v>1</v>
      </c>
      <c r="E192" s="57">
        <v>1</v>
      </c>
      <c r="F192" s="57">
        <v>1</v>
      </c>
      <c r="G192" s="57">
        <v>1</v>
      </c>
      <c r="H192" s="57">
        <v>0</v>
      </c>
      <c r="I192" s="57">
        <v>1</v>
      </c>
      <c r="J192" s="58">
        <f t="shared" si="15"/>
        <v>128</v>
      </c>
      <c r="K192" s="57">
        <f t="shared" si="15"/>
        <v>0</v>
      </c>
      <c r="L192" s="57">
        <f t="shared" si="15"/>
        <v>32</v>
      </c>
      <c r="M192" s="57">
        <f t="shared" si="15"/>
        <v>16</v>
      </c>
      <c r="N192" s="57">
        <f t="shared" si="15"/>
        <v>8</v>
      </c>
      <c r="O192" s="57">
        <f t="shared" si="14"/>
        <v>4</v>
      </c>
      <c r="P192" s="57">
        <f t="shared" si="14"/>
        <v>0</v>
      </c>
      <c r="Q192" s="57">
        <f t="shared" si="14"/>
        <v>1</v>
      </c>
      <c r="R192" s="54">
        <f t="shared" si="12"/>
        <v>189</v>
      </c>
    </row>
    <row r="193" spans="1:18" x14ac:dyDescent="0.2">
      <c r="A193" s="50">
        <f t="shared" si="13"/>
        <v>190</v>
      </c>
      <c r="B193" s="57">
        <v>1</v>
      </c>
      <c r="C193" s="57">
        <v>0</v>
      </c>
      <c r="D193" s="57">
        <v>1</v>
      </c>
      <c r="E193" s="57">
        <v>1</v>
      </c>
      <c r="F193" s="57">
        <v>1</v>
      </c>
      <c r="G193" s="57">
        <v>1</v>
      </c>
      <c r="H193" s="57">
        <v>1</v>
      </c>
      <c r="I193" s="57">
        <v>0</v>
      </c>
      <c r="J193" s="58">
        <f t="shared" si="15"/>
        <v>128</v>
      </c>
      <c r="K193" s="57">
        <f t="shared" si="15"/>
        <v>0</v>
      </c>
      <c r="L193" s="57">
        <f t="shared" si="15"/>
        <v>32</v>
      </c>
      <c r="M193" s="57">
        <f t="shared" si="15"/>
        <v>16</v>
      </c>
      <c r="N193" s="57">
        <f t="shared" si="15"/>
        <v>8</v>
      </c>
      <c r="O193" s="57">
        <f t="shared" si="14"/>
        <v>4</v>
      </c>
      <c r="P193" s="57">
        <f t="shared" si="14"/>
        <v>2</v>
      </c>
      <c r="Q193" s="57">
        <f t="shared" si="14"/>
        <v>0</v>
      </c>
      <c r="R193" s="54">
        <f t="shared" si="12"/>
        <v>190</v>
      </c>
    </row>
    <row r="194" spans="1:18" x14ac:dyDescent="0.2">
      <c r="A194" s="50">
        <f t="shared" si="13"/>
        <v>191</v>
      </c>
      <c r="B194" s="57">
        <v>1</v>
      </c>
      <c r="C194" s="57">
        <v>0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8">
        <f t="shared" si="15"/>
        <v>128</v>
      </c>
      <c r="K194" s="57">
        <f t="shared" si="15"/>
        <v>0</v>
      </c>
      <c r="L194" s="57">
        <f t="shared" si="15"/>
        <v>32</v>
      </c>
      <c r="M194" s="57">
        <f t="shared" si="15"/>
        <v>16</v>
      </c>
      <c r="N194" s="57">
        <f t="shared" si="15"/>
        <v>8</v>
      </c>
      <c r="O194" s="57">
        <f t="shared" si="14"/>
        <v>4</v>
      </c>
      <c r="P194" s="57">
        <f t="shared" si="14"/>
        <v>2</v>
      </c>
      <c r="Q194" s="57">
        <f t="shared" si="14"/>
        <v>1</v>
      </c>
      <c r="R194" s="54">
        <f t="shared" si="12"/>
        <v>191</v>
      </c>
    </row>
    <row r="195" spans="1:18" x14ac:dyDescent="0.2">
      <c r="A195" s="50">
        <f t="shared" si="13"/>
        <v>192</v>
      </c>
      <c r="B195" s="57">
        <v>1</v>
      </c>
      <c r="C195" s="57">
        <v>1</v>
      </c>
      <c r="D195" s="51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8">
        <f t="shared" si="15"/>
        <v>128</v>
      </c>
      <c r="K195" s="57">
        <f t="shared" si="15"/>
        <v>64</v>
      </c>
      <c r="L195" s="57">
        <f t="shared" si="15"/>
        <v>0</v>
      </c>
      <c r="M195" s="57">
        <f t="shared" si="15"/>
        <v>0</v>
      </c>
      <c r="N195" s="57">
        <f t="shared" si="15"/>
        <v>0</v>
      </c>
      <c r="O195" s="57">
        <f t="shared" si="14"/>
        <v>0</v>
      </c>
      <c r="P195" s="57">
        <f t="shared" si="14"/>
        <v>0</v>
      </c>
      <c r="Q195" s="57">
        <f t="shared" si="14"/>
        <v>0</v>
      </c>
      <c r="R195" s="54">
        <f t="shared" si="12"/>
        <v>192</v>
      </c>
    </row>
    <row r="196" spans="1:18" x14ac:dyDescent="0.2">
      <c r="A196" s="50">
        <f t="shared" si="13"/>
        <v>193</v>
      </c>
      <c r="B196" s="57">
        <v>1</v>
      </c>
      <c r="C196" s="57">
        <v>1</v>
      </c>
      <c r="D196" s="57">
        <v>0</v>
      </c>
      <c r="E196" s="57">
        <v>0</v>
      </c>
      <c r="F196" s="57">
        <v>0</v>
      </c>
      <c r="G196" s="57">
        <v>0</v>
      </c>
      <c r="H196" s="57">
        <v>0</v>
      </c>
      <c r="I196" s="57">
        <v>1</v>
      </c>
      <c r="J196" s="58">
        <f t="shared" si="15"/>
        <v>128</v>
      </c>
      <c r="K196" s="57">
        <f t="shared" si="15"/>
        <v>64</v>
      </c>
      <c r="L196" s="57">
        <f t="shared" si="15"/>
        <v>0</v>
      </c>
      <c r="M196" s="57">
        <f t="shared" si="15"/>
        <v>0</v>
      </c>
      <c r="N196" s="57">
        <f t="shared" si="15"/>
        <v>0</v>
      </c>
      <c r="O196" s="57">
        <f t="shared" si="14"/>
        <v>0</v>
      </c>
      <c r="P196" s="57">
        <f t="shared" si="14"/>
        <v>0</v>
      </c>
      <c r="Q196" s="57">
        <f t="shared" si="14"/>
        <v>1</v>
      </c>
      <c r="R196" s="54">
        <f t="shared" ref="R196:R258" si="16">SUM(J196:Q196)</f>
        <v>193</v>
      </c>
    </row>
    <row r="197" spans="1:18" x14ac:dyDescent="0.2">
      <c r="A197" s="50">
        <f t="shared" si="13"/>
        <v>194</v>
      </c>
      <c r="B197" s="57">
        <v>1</v>
      </c>
      <c r="C197" s="57">
        <v>1</v>
      </c>
      <c r="D197" s="57">
        <v>0</v>
      </c>
      <c r="E197" s="57">
        <v>0</v>
      </c>
      <c r="F197" s="57">
        <v>0</v>
      </c>
      <c r="G197" s="57">
        <v>0</v>
      </c>
      <c r="H197" s="57">
        <v>1</v>
      </c>
      <c r="I197" s="57">
        <v>0</v>
      </c>
      <c r="J197" s="58">
        <f t="shared" si="15"/>
        <v>128</v>
      </c>
      <c r="K197" s="57">
        <f t="shared" si="15"/>
        <v>64</v>
      </c>
      <c r="L197" s="57">
        <f t="shared" si="15"/>
        <v>0</v>
      </c>
      <c r="M197" s="57">
        <f t="shared" si="15"/>
        <v>0</v>
      </c>
      <c r="N197" s="57">
        <f t="shared" si="15"/>
        <v>0</v>
      </c>
      <c r="O197" s="57">
        <f t="shared" si="14"/>
        <v>0</v>
      </c>
      <c r="P197" s="57">
        <f t="shared" si="14"/>
        <v>2</v>
      </c>
      <c r="Q197" s="57">
        <f t="shared" si="14"/>
        <v>0</v>
      </c>
      <c r="R197" s="54">
        <f t="shared" si="16"/>
        <v>194</v>
      </c>
    </row>
    <row r="198" spans="1:18" x14ac:dyDescent="0.2">
      <c r="A198" s="50">
        <f t="shared" si="13"/>
        <v>195</v>
      </c>
      <c r="B198" s="57">
        <v>1</v>
      </c>
      <c r="C198" s="57">
        <v>1</v>
      </c>
      <c r="D198" s="57">
        <v>0</v>
      </c>
      <c r="E198" s="57">
        <v>0</v>
      </c>
      <c r="F198" s="57">
        <v>0</v>
      </c>
      <c r="G198" s="57">
        <v>0</v>
      </c>
      <c r="H198" s="57">
        <v>1</v>
      </c>
      <c r="I198" s="57">
        <v>1</v>
      </c>
      <c r="J198" s="58">
        <f t="shared" si="15"/>
        <v>128</v>
      </c>
      <c r="K198" s="57">
        <f t="shared" si="15"/>
        <v>64</v>
      </c>
      <c r="L198" s="57">
        <f t="shared" si="15"/>
        <v>0</v>
      </c>
      <c r="M198" s="57">
        <f t="shared" si="15"/>
        <v>0</v>
      </c>
      <c r="N198" s="57">
        <f t="shared" si="15"/>
        <v>0</v>
      </c>
      <c r="O198" s="57">
        <f t="shared" si="14"/>
        <v>0</v>
      </c>
      <c r="P198" s="57">
        <f t="shared" si="14"/>
        <v>2</v>
      </c>
      <c r="Q198" s="57">
        <f t="shared" si="14"/>
        <v>1</v>
      </c>
      <c r="R198" s="54">
        <f t="shared" si="16"/>
        <v>195</v>
      </c>
    </row>
    <row r="199" spans="1:18" x14ac:dyDescent="0.2">
      <c r="A199" s="50">
        <f t="shared" ref="A199:A258" si="17">A198+1</f>
        <v>196</v>
      </c>
      <c r="B199" s="57">
        <v>1</v>
      </c>
      <c r="C199" s="57">
        <v>1</v>
      </c>
      <c r="D199" s="57">
        <v>0</v>
      </c>
      <c r="E199" s="57">
        <v>0</v>
      </c>
      <c r="F199" s="57">
        <v>0</v>
      </c>
      <c r="G199" s="57">
        <v>1</v>
      </c>
      <c r="H199" s="57">
        <v>0</v>
      </c>
      <c r="I199" s="57">
        <v>0</v>
      </c>
      <c r="J199" s="58">
        <f t="shared" si="15"/>
        <v>128</v>
      </c>
      <c r="K199" s="57">
        <f t="shared" si="15"/>
        <v>64</v>
      </c>
      <c r="L199" s="57">
        <f t="shared" si="15"/>
        <v>0</v>
      </c>
      <c r="M199" s="57">
        <f t="shared" si="15"/>
        <v>0</v>
      </c>
      <c r="N199" s="57">
        <f t="shared" si="15"/>
        <v>0</v>
      </c>
      <c r="O199" s="57">
        <f t="shared" si="14"/>
        <v>4</v>
      </c>
      <c r="P199" s="57">
        <f t="shared" si="14"/>
        <v>0</v>
      </c>
      <c r="Q199" s="57">
        <f t="shared" si="14"/>
        <v>0</v>
      </c>
      <c r="R199" s="54">
        <f t="shared" si="16"/>
        <v>196</v>
      </c>
    </row>
    <row r="200" spans="1:18" x14ac:dyDescent="0.2">
      <c r="A200" s="50">
        <f t="shared" si="17"/>
        <v>197</v>
      </c>
      <c r="B200" s="57">
        <v>1</v>
      </c>
      <c r="C200" s="57">
        <v>1</v>
      </c>
      <c r="D200" s="57">
        <v>0</v>
      </c>
      <c r="E200" s="57">
        <v>0</v>
      </c>
      <c r="F200" s="57">
        <v>0</v>
      </c>
      <c r="G200" s="57">
        <v>1</v>
      </c>
      <c r="H200" s="57">
        <v>0</v>
      </c>
      <c r="I200" s="57">
        <v>1</v>
      </c>
      <c r="J200" s="58">
        <f t="shared" si="15"/>
        <v>128</v>
      </c>
      <c r="K200" s="57">
        <f t="shared" si="15"/>
        <v>64</v>
      </c>
      <c r="L200" s="57">
        <f t="shared" si="15"/>
        <v>0</v>
      </c>
      <c r="M200" s="57">
        <f t="shared" si="15"/>
        <v>0</v>
      </c>
      <c r="N200" s="57">
        <f t="shared" si="15"/>
        <v>0</v>
      </c>
      <c r="O200" s="57">
        <f t="shared" si="14"/>
        <v>4</v>
      </c>
      <c r="P200" s="57">
        <f t="shared" si="14"/>
        <v>0</v>
      </c>
      <c r="Q200" s="57">
        <f t="shared" si="14"/>
        <v>1</v>
      </c>
      <c r="R200" s="54">
        <f t="shared" si="16"/>
        <v>197</v>
      </c>
    </row>
    <row r="201" spans="1:18" x14ac:dyDescent="0.2">
      <c r="A201" s="50">
        <f t="shared" si="17"/>
        <v>198</v>
      </c>
      <c r="B201" s="57">
        <v>1</v>
      </c>
      <c r="C201" s="57">
        <v>1</v>
      </c>
      <c r="D201" s="57">
        <v>0</v>
      </c>
      <c r="E201" s="57">
        <v>0</v>
      </c>
      <c r="F201" s="57">
        <v>0</v>
      </c>
      <c r="G201" s="57">
        <v>1</v>
      </c>
      <c r="H201" s="57">
        <v>1</v>
      </c>
      <c r="I201" s="57">
        <v>0</v>
      </c>
      <c r="J201" s="58">
        <f t="shared" si="15"/>
        <v>128</v>
      </c>
      <c r="K201" s="57">
        <f t="shared" si="15"/>
        <v>64</v>
      </c>
      <c r="L201" s="57">
        <f t="shared" si="15"/>
        <v>0</v>
      </c>
      <c r="M201" s="57">
        <f t="shared" si="15"/>
        <v>0</v>
      </c>
      <c r="N201" s="57">
        <f t="shared" si="15"/>
        <v>0</v>
      </c>
      <c r="O201" s="57">
        <f t="shared" si="14"/>
        <v>4</v>
      </c>
      <c r="P201" s="57">
        <f t="shared" si="14"/>
        <v>2</v>
      </c>
      <c r="Q201" s="57">
        <f t="shared" si="14"/>
        <v>0</v>
      </c>
      <c r="R201" s="54">
        <f t="shared" si="16"/>
        <v>198</v>
      </c>
    </row>
    <row r="202" spans="1:18" x14ac:dyDescent="0.2">
      <c r="A202" s="50">
        <f t="shared" si="17"/>
        <v>199</v>
      </c>
      <c r="B202" s="57">
        <v>1</v>
      </c>
      <c r="C202" s="57">
        <v>1</v>
      </c>
      <c r="D202" s="57">
        <v>0</v>
      </c>
      <c r="E202" s="57">
        <v>0</v>
      </c>
      <c r="F202" s="57">
        <v>0</v>
      </c>
      <c r="G202" s="57">
        <v>1</v>
      </c>
      <c r="H202" s="57">
        <v>1</v>
      </c>
      <c r="I202" s="57">
        <v>1</v>
      </c>
      <c r="J202" s="58">
        <f t="shared" si="15"/>
        <v>128</v>
      </c>
      <c r="K202" s="57">
        <f t="shared" si="15"/>
        <v>64</v>
      </c>
      <c r="L202" s="57">
        <f t="shared" si="15"/>
        <v>0</v>
      </c>
      <c r="M202" s="57">
        <f t="shared" si="15"/>
        <v>0</v>
      </c>
      <c r="N202" s="57">
        <f t="shared" si="15"/>
        <v>0</v>
      </c>
      <c r="O202" s="57">
        <f t="shared" si="14"/>
        <v>4</v>
      </c>
      <c r="P202" s="57">
        <f t="shared" si="14"/>
        <v>2</v>
      </c>
      <c r="Q202" s="57">
        <f t="shared" si="14"/>
        <v>1</v>
      </c>
      <c r="R202" s="54">
        <f t="shared" si="16"/>
        <v>199</v>
      </c>
    </row>
    <row r="203" spans="1:18" x14ac:dyDescent="0.2">
      <c r="A203" s="50">
        <f t="shared" si="17"/>
        <v>200</v>
      </c>
      <c r="B203" s="57">
        <v>1</v>
      </c>
      <c r="C203" s="57">
        <v>1</v>
      </c>
      <c r="D203" s="57">
        <v>0</v>
      </c>
      <c r="E203" s="57">
        <v>0</v>
      </c>
      <c r="F203" s="57">
        <v>1</v>
      </c>
      <c r="G203" s="57">
        <v>0</v>
      </c>
      <c r="H203" s="57">
        <v>0</v>
      </c>
      <c r="I203" s="57">
        <v>0</v>
      </c>
      <c r="J203" s="58">
        <f t="shared" si="15"/>
        <v>128</v>
      </c>
      <c r="K203" s="57">
        <f t="shared" si="15"/>
        <v>64</v>
      </c>
      <c r="L203" s="57">
        <f t="shared" si="15"/>
        <v>0</v>
      </c>
      <c r="M203" s="57">
        <f t="shared" si="15"/>
        <v>0</v>
      </c>
      <c r="N203" s="57">
        <f t="shared" si="15"/>
        <v>8</v>
      </c>
      <c r="O203" s="57">
        <f t="shared" si="14"/>
        <v>0</v>
      </c>
      <c r="P203" s="57">
        <f t="shared" si="14"/>
        <v>0</v>
      </c>
      <c r="Q203" s="57">
        <f t="shared" si="14"/>
        <v>0</v>
      </c>
      <c r="R203" s="54">
        <f t="shared" si="16"/>
        <v>200</v>
      </c>
    </row>
    <row r="204" spans="1:18" x14ac:dyDescent="0.2">
      <c r="A204" s="50">
        <f t="shared" si="17"/>
        <v>201</v>
      </c>
      <c r="B204" s="57">
        <v>1</v>
      </c>
      <c r="C204" s="57">
        <v>1</v>
      </c>
      <c r="D204" s="57">
        <v>0</v>
      </c>
      <c r="E204" s="57">
        <v>0</v>
      </c>
      <c r="F204" s="57">
        <v>1</v>
      </c>
      <c r="G204" s="57">
        <v>0</v>
      </c>
      <c r="H204" s="57">
        <v>0</v>
      </c>
      <c r="I204" s="57">
        <v>1</v>
      </c>
      <c r="J204" s="58">
        <f t="shared" ref="J204:Q237" si="18">IF(B204=1,B$2,0)</f>
        <v>128</v>
      </c>
      <c r="K204" s="57">
        <f t="shared" si="18"/>
        <v>64</v>
      </c>
      <c r="L204" s="57">
        <f t="shared" si="18"/>
        <v>0</v>
      </c>
      <c r="M204" s="57">
        <f t="shared" si="18"/>
        <v>0</v>
      </c>
      <c r="N204" s="57">
        <f t="shared" si="18"/>
        <v>8</v>
      </c>
      <c r="O204" s="57">
        <f t="shared" si="14"/>
        <v>0</v>
      </c>
      <c r="P204" s="57">
        <f t="shared" si="14"/>
        <v>0</v>
      </c>
      <c r="Q204" s="57">
        <f t="shared" si="14"/>
        <v>1</v>
      </c>
      <c r="R204" s="54">
        <f t="shared" si="16"/>
        <v>201</v>
      </c>
    </row>
    <row r="205" spans="1:18" x14ac:dyDescent="0.2">
      <c r="A205" s="50">
        <f t="shared" si="17"/>
        <v>202</v>
      </c>
      <c r="B205" s="57">
        <v>1</v>
      </c>
      <c r="C205" s="57">
        <v>1</v>
      </c>
      <c r="D205" s="57">
        <v>0</v>
      </c>
      <c r="E205" s="57">
        <v>0</v>
      </c>
      <c r="F205" s="57">
        <v>1</v>
      </c>
      <c r="G205" s="57">
        <v>0</v>
      </c>
      <c r="H205" s="57">
        <v>1</v>
      </c>
      <c r="I205" s="57">
        <v>0</v>
      </c>
      <c r="J205" s="58">
        <f t="shared" si="18"/>
        <v>128</v>
      </c>
      <c r="K205" s="57">
        <f t="shared" si="18"/>
        <v>64</v>
      </c>
      <c r="L205" s="57">
        <f t="shared" si="18"/>
        <v>0</v>
      </c>
      <c r="M205" s="57">
        <f t="shared" si="18"/>
        <v>0</v>
      </c>
      <c r="N205" s="57">
        <f t="shared" si="18"/>
        <v>8</v>
      </c>
      <c r="O205" s="57">
        <f t="shared" si="14"/>
        <v>0</v>
      </c>
      <c r="P205" s="57">
        <f t="shared" si="14"/>
        <v>2</v>
      </c>
      <c r="Q205" s="57">
        <f t="shared" si="14"/>
        <v>0</v>
      </c>
      <c r="R205" s="54">
        <f t="shared" si="16"/>
        <v>202</v>
      </c>
    </row>
    <row r="206" spans="1:18" x14ac:dyDescent="0.2">
      <c r="A206" s="50">
        <f t="shared" si="17"/>
        <v>203</v>
      </c>
      <c r="B206" s="57">
        <v>1</v>
      </c>
      <c r="C206" s="57">
        <v>1</v>
      </c>
      <c r="D206" s="57">
        <v>0</v>
      </c>
      <c r="E206" s="57">
        <v>0</v>
      </c>
      <c r="F206" s="57">
        <v>1</v>
      </c>
      <c r="G206" s="57">
        <v>0</v>
      </c>
      <c r="H206" s="57">
        <v>1</v>
      </c>
      <c r="I206" s="57">
        <v>1</v>
      </c>
      <c r="J206" s="58">
        <f t="shared" si="18"/>
        <v>128</v>
      </c>
      <c r="K206" s="57">
        <f t="shared" si="18"/>
        <v>64</v>
      </c>
      <c r="L206" s="57">
        <f t="shared" si="18"/>
        <v>0</v>
      </c>
      <c r="M206" s="57">
        <f t="shared" si="18"/>
        <v>0</v>
      </c>
      <c r="N206" s="57">
        <f t="shared" si="18"/>
        <v>8</v>
      </c>
      <c r="O206" s="57">
        <f t="shared" si="14"/>
        <v>0</v>
      </c>
      <c r="P206" s="57">
        <f t="shared" si="14"/>
        <v>2</v>
      </c>
      <c r="Q206" s="57">
        <f t="shared" si="14"/>
        <v>1</v>
      </c>
      <c r="R206" s="54">
        <f t="shared" si="16"/>
        <v>203</v>
      </c>
    </row>
    <row r="207" spans="1:18" x14ac:dyDescent="0.2">
      <c r="A207" s="50">
        <f t="shared" si="17"/>
        <v>204</v>
      </c>
      <c r="B207" s="57">
        <v>1</v>
      </c>
      <c r="C207" s="57">
        <v>1</v>
      </c>
      <c r="D207" s="57">
        <v>0</v>
      </c>
      <c r="E207" s="57">
        <v>0</v>
      </c>
      <c r="F207" s="57">
        <v>1</v>
      </c>
      <c r="G207" s="57">
        <v>1</v>
      </c>
      <c r="H207" s="57">
        <v>0</v>
      </c>
      <c r="I207" s="57">
        <v>0</v>
      </c>
      <c r="J207" s="58">
        <f t="shared" si="18"/>
        <v>128</v>
      </c>
      <c r="K207" s="57">
        <f t="shared" si="18"/>
        <v>64</v>
      </c>
      <c r="L207" s="57">
        <f t="shared" si="18"/>
        <v>0</v>
      </c>
      <c r="M207" s="57">
        <f t="shared" si="18"/>
        <v>0</v>
      </c>
      <c r="N207" s="57">
        <f t="shared" si="18"/>
        <v>8</v>
      </c>
      <c r="O207" s="57">
        <f t="shared" si="14"/>
        <v>4</v>
      </c>
      <c r="P207" s="57">
        <f t="shared" si="14"/>
        <v>0</v>
      </c>
      <c r="Q207" s="57">
        <f t="shared" si="14"/>
        <v>0</v>
      </c>
      <c r="R207" s="54">
        <f t="shared" si="16"/>
        <v>204</v>
      </c>
    </row>
    <row r="208" spans="1:18" x14ac:dyDescent="0.2">
      <c r="A208" s="50">
        <f t="shared" si="17"/>
        <v>205</v>
      </c>
      <c r="B208" s="57">
        <v>1</v>
      </c>
      <c r="C208" s="57">
        <v>1</v>
      </c>
      <c r="D208" s="57">
        <v>0</v>
      </c>
      <c r="E208" s="57">
        <v>0</v>
      </c>
      <c r="F208" s="57">
        <v>1</v>
      </c>
      <c r="G208" s="57">
        <v>1</v>
      </c>
      <c r="H208" s="57">
        <v>0</v>
      </c>
      <c r="I208" s="57">
        <v>1</v>
      </c>
      <c r="J208" s="58">
        <f t="shared" si="18"/>
        <v>128</v>
      </c>
      <c r="K208" s="57">
        <f t="shared" si="18"/>
        <v>64</v>
      </c>
      <c r="L208" s="57">
        <f t="shared" si="18"/>
        <v>0</v>
      </c>
      <c r="M208" s="57">
        <f t="shared" si="18"/>
        <v>0</v>
      </c>
      <c r="N208" s="57">
        <f t="shared" si="18"/>
        <v>8</v>
      </c>
      <c r="O208" s="57">
        <f t="shared" si="18"/>
        <v>4</v>
      </c>
      <c r="P208" s="57">
        <f t="shared" si="18"/>
        <v>0</v>
      </c>
      <c r="Q208" s="57">
        <f t="shared" si="18"/>
        <v>1</v>
      </c>
      <c r="R208" s="54">
        <f t="shared" si="16"/>
        <v>205</v>
      </c>
    </row>
    <row r="209" spans="1:18" x14ac:dyDescent="0.2">
      <c r="A209" s="50">
        <f t="shared" si="17"/>
        <v>206</v>
      </c>
      <c r="B209" s="57">
        <v>1</v>
      </c>
      <c r="C209" s="57">
        <v>1</v>
      </c>
      <c r="D209" s="57">
        <v>0</v>
      </c>
      <c r="E209" s="57">
        <v>0</v>
      </c>
      <c r="F209" s="57">
        <v>1</v>
      </c>
      <c r="G209" s="57">
        <v>1</v>
      </c>
      <c r="H209" s="57">
        <v>1</v>
      </c>
      <c r="I209" s="57">
        <v>0</v>
      </c>
      <c r="J209" s="58">
        <f t="shared" si="18"/>
        <v>128</v>
      </c>
      <c r="K209" s="57">
        <f t="shared" si="18"/>
        <v>64</v>
      </c>
      <c r="L209" s="57">
        <f t="shared" si="18"/>
        <v>0</v>
      </c>
      <c r="M209" s="57">
        <f t="shared" si="18"/>
        <v>0</v>
      </c>
      <c r="N209" s="57">
        <f t="shared" si="18"/>
        <v>8</v>
      </c>
      <c r="O209" s="57">
        <f t="shared" si="18"/>
        <v>4</v>
      </c>
      <c r="P209" s="57">
        <f t="shared" si="18"/>
        <v>2</v>
      </c>
      <c r="Q209" s="57">
        <f t="shared" si="18"/>
        <v>0</v>
      </c>
      <c r="R209" s="54">
        <f t="shared" si="16"/>
        <v>206</v>
      </c>
    </row>
    <row r="210" spans="1:18" x14ac:dyDescent="0.2">
      <c r="A210" s="50">
        <f t="shared" si="17"/>
        <v>207</v>
      </c>
      <c r="B210" s="57">
        <v>1</v>
      </c>
      <c r="C210" s="57">
        <v>1</v>
      </c>
      <c r="D210" s="57">
        <v>0</v>
      </c>
      <c r="E210" s="57">
        <v>0</v>
      </c>
      <c r="F210" s="57">
        <v>1</v>
      </c>
      <c r="G210" s="57">
        <v>1</v>
      </c>
      <c r="H210" s="57">
        <v>1</v>
      </c>
      <c r="I210" s="57">
        <v>1</v>
      </c>
      <c r="J210" s="58">
        <f t="shared" si="18"/>
        <v>128</v>
      </c>
      <c r="K210" s="57">
        <f t="shared" si="18"/>
        <v>64</v>
      </c>
      <c r="L210" s="57">
        <f t="shared" si="18"/>
        <v>0</v>
      </c>
      <c r="M210" s="57">
        <f t="shared" si="18"/>
        <v>0</v>
      </c>
      <c r="N210" s="57">
        <f t="shared" si="18"/>
        <v>8</v>
      </c>
      <c r="O210" s="57">
        <f t="shared" si="18"/>
        <v>4</v>
      </c>
      <c r="P210" s="57">
        <f t="shared" si="18"/>
        <v>2</v>
      </c>
      <c r="Q210" s="57">
        <f t="shared" si="18"/>
        <v>1</v>
      </c>
      <c r="R210" s="54">
        <f t="shared" si="16"/>
        <v>207</v>
      </c>
    </row>
    <row r="211" spans="1:18" x14ac:dyDescent="0.2">
      <c r="A211" s="50">
        <f t="shared" si="17"/>
        <v>208</v>
      </c>
      <c r="B211" s="57">
        <v>1</v>
      </c>
      <c r="C211" s="57">
        <v>1</v>
      </c>
      <c r="D211" s="57">
        <v>0</v>
      </c>
      <c r="E211" s="57">
        <v>1</v>
      </c>
      <c r="F211" s="57">
        <v>0</v>
      </c>
      <c r="G211" s="57">
        <v>0</v>
      </c>
      <c r="H211" s="57">
        <v>0</v>
      </c>
      <c r="I211" s="57">
        <v>0</v>
      </c>
      <c r="J211" s="58">
        <f t="shared" si="18"/>
        <v>128</v>
      </c>
      <c r="K211" s="57">
        <f t="shared" si="18"/>
        <v>64</v>
      </c>
      <c r="L211" s="57">
        <f t="shared" si="18"/>
        <v>0</v>
      </c>
      <c r="M211" s="57">
        <f t="shared" si="18"/>
        <v>16</v>
      </c>
      <c r="N211" s="57">
        <f t="shared" si="18"/>
        <v>0</v>
      </c>
      <c r="O211" s="57">
        <f t="shared" si="18"/>
        <v>0</v>
      </c>
      <c r="P211" s="57">
        <f t="shared" si="18"/>
        <v>0</v>
      </c>
      <c r="Q211" s="57">
        <f t="shared" si="18"/>
        <v>0</v>
      </c>
      <c r="R211" s="54">
        <f t="shared" si="16"/>
        <v>208</v>
      </c>
    </row>
    <row r="212" spans="1:18" x14ac:dyDescent="0.2">
      <c r="A212" s="50">
        <f t="shared" si="17"/>
        <v>209</v>
      </c>
      <c r="B212" s="57">
        <v>1</v>
      </c>
      <c r="C212" s="57">
        <v>1</v>
      </c>
      <c r="D212" s="57">
        <v>0</v>
      </c>
      <c r="E212" s="57">
        <v>1</v>
      </c>
      <c r="F212" s="57">
        <v>0</v>
      </c>
      <c r="G212" s="57">
        <v>0</v>
      </c>
      <c r="H212" s="57">
        <v>0</v>
      </c>
      <c r="I212" s="57">
        <v>1</v>
      </c>
      <c r="J212" s="58">
        <f t="shared" si="18"/>
        <v>128</v>
      </c>
      <c r="K212" s="57">
        <f t="shared" si="18"/>
        <v>64</v>
      </c>
      <c r="L212" s="57">
        <f t="shared" si="18"/>
        <v>0</v>
      </c>
      <c r="M212" s="57">
        <f t="shared" si="18"/>
        <v>16</v>
      </c>
      <c r="N212" s="57">
        <f t="shared" si="18"/>
        <v>0</v>
      </c>
      <c r="O212" s="57">
        <f t="shared" si="18"/>
        <v>0</v>
      </c>
      <c r="P212" s="57">
        <f t="shared" si="18"/>
        <v>0</v>
      </c>
      <c r="Q212" s="57">
        <f t="shared" si="18"/>
        <v>1</v>
      </c>
      <c r="R212" s="54">
        <f t="shared" si="16"/>
        <v>209</v>
      </c>
    </row>
    <row r="213" spans="1:18" x14ac:dyDescent="0.2">
      <c r="A213" s="50">
        <f t="shared" si="17"/>
        <v>210</v>
      </c>
      <c r="B213" s="57">
        <v>1</v>
      </c>
      <c r="C213" s="57">
        <v>1</v>
      </c>
      <c r="D213" s="57">
        <v>0</v>
      </c>
      <c r="E213" s="57">
        <v>1</v>
      </c>
      <c r="F213" s="57">
        <v>0</v>
      </c>
      <c r="G213" s="57">
        <v>0</v>
      </c>
      <c r="H213" s="57">
        <v>1</v>
      </c>
      <c r="I213" s="57">
        <v>0</v>
      </c>
      <c r="J213" s="58">
        <f t="shared" si="18"/>
        <v>128</v>
      </c>
      <c r="K213" s="57">
        <f t="shared" si="18"/>
        <v>64</v>
      </c>
      <c r="L213" s="57">
        <f t="shared" si="18"/>
        <v>0</v>
      </c>
      <c r="M213" s="57">
        <f t="shared" si="18"/>
        <v>16</v>
      </c>
      <c r="N213" s="57">
        <f t="shared" si="18"/>
        <v>0</v>
      </c>
      <c r="O213" s="57">
        <f t="shared" si="18"/>
        <v>0</v>
      </c>
      <c r="P213" s="57">
        <f t="shared" si="18"/>
        <v>2</v>
      </c>
      <c r="Q213" s="57">
        <f t="shared" si="18"/>
        <v>0</v>
      </c>
      <c r="R213" s="54">
        <f t="shared" si="16"/>
        <v>210</v>
      </c>
    </row>
    <row r="214" spans="1:18" x14ac:dyDescent="0.2">
      <c r="A214" s="50">
        <f t="shared" si="17"/>
        <v>211</v>
      </c>
      <c r="B214" s="57">
        <v>1</v>
      </c>
      <c r="C214" s="57">
        <v>1</v>
      </c>
      <c r="D214" s="57">
        <v>0</v>
      </c>
      <c r="E214" s="57">
        <v>1</v>
      </c>
      <c r="F214" s="57">
        <v>0</v>
      </c>
      <c r="G214" s="57">
        <v>0</v>
      </c>
      <c r="H214" s="57">
        <v>1</v>
      </c>
      <c r="I214" s="57">
        <v>1</v>
      </c>
      <c r="J214" s="58">
        <f t="shared" si="18"/>
        <v>128</v>
      </c>
      <c r="K214" s="57">
        <f t="shared" si="18"/>
        <v>64</v>
      </c>
      <c r="L214" s="57">
        <f t="shared" si="18"/>
        <v>0</v>
      </c>
      <c r="M214" s="57">
        <f t="shared" si="18"/>
        <v>16</v>
      </c>
      <c r="N214" s="57">
        <f t="shared" si="18"/>
        <v>0</v>
      </c>
      <c r="O214" s="57">
        <f t="shared" si="18"/>
        <v>0</v>
      </c>
      <c r="P214" s="57">
        <f t="shared" si="18"/>
        <v>2</v>
      </c>
      <c r="Q214" s="57">
        <f t="shared" si="18"/>
        <v>1</v>
      </c>
      <c r="R214" s="54">
        <f t="shared" si="16"/>
        <v>211</v>
      </c>
    </row>
    <row r="215" spans="1:18" x14ac:dyDescent="0.2">
      <c r="A215" s="50">
        <f t="shared" si="17"/>
        <v>212</v>
      </c>
      <c r="B215" s="57">
        <v>1</v>
      </c>
      <c r="C215" s="57">
        <v>1</v>
      </c>
      <c r="D215" s="57">
        <v>0</v>
      </c>
      <c r="E215" s="57">
        <v>1</v>
      </c>
      <c r="F215" s="57">
        <v>0</v>
      </c>
      <c r="G215" s="57">
        <v>1</v>
      </c>
      <c r="H215" s="57">
        <v>0</v>
      </c>
      <c r="I215" s="57">
        <v>0</v>
      </c>
      <c r="J215" s="58">
        <f t="shared" si="18"/>
        <v>128</v>
      </c>
      <c r="K215" s="57">
        <f t="shared" si="18"/>
        <v>64</v>
      </c>
      <c r="L215" s="57">
        <f t="shared" si="18"/>
        <v>0</v>
      </c>
      <c r="M215" s="57">
        <f t="shared" si="18"/>
        <v>16</v>
      </c>
      <c r="N215" s="57">
        <f t="shared" si="18"/>
        <v>0</v>
      </c>
      <c r="O215" s="57">
        <f t="shared" si="18"/>
        <v>4</v>
      </c>
      <c r="P215" s="57">
        <f t="shared" si="18"/>
        <v>0</v>
      </c>
      <c r="Q215" s="57">
        <f t="shared" si="18"/>
        <v>0</v>
      </c>
      <c r="R215" s="54">
        <f t="shared" si="16"/>
        <v>212</v>
      </c>
    </row>
    <row r="216" spans="1:18" x14ac:dyDescent="0.2">
      <c r="A216" s="50">
        <f t="shared" si="17"/>
        <v>213</v>
      </c>
      <c r="B216" s="57">
        <v>1</v>
      </c>
      <c r="C216" s="57">
        <v>1</v>
      </c>
      <c r="D216" s="57">
        <v>0</v>
      </c>
      <c r="E216" s="57">
        <v>1</v>
      </c>
      <c r="F216" s="57">
        <v>0</v>
      </c>
      <c r="G216" s="57">
        <v>1</v>
      </c>
      <c r="H216" s="57">
        <v>0</v>
      </c>
      <c r="I216" s="57">
        <v>1</v>
      </c>
      <c r="J216" s="58">
        <f t="shared" si="18"/>
        <v>128</v>
      </c>
      <c r="K216" s="57">
        <f t="shared" si="18"/>
        <v>64</v>
      </c>
      <c r="L216" s="57">
        <f t="shared" si="18"/>
        <v>0</v>
      </c>
      <c r="M216" s="57">
        <f t="shared" si="18"/>
        <v>16</v>
      </c>
      <c r="N216" s="57">
        <f t="shared" si="18"/>
        <v>0</v>
      </c>
      <c r="O216" s="57">
        <f t="shared" si="18"/>
        <v>4</v>
      </c>
      <c r="P216" s="57">
        <f t="shared" si="18"/>
        <v>0</v>
      </c>
      <c r="Q216" s="57">
        <f t="shared" si="18"/>
        <v>1</v>
      </c>
      <c r="R216" s="54">
        <f t="shared" si="16"/>
        <v>213</v>
      </c>
    </row>
    <row r="217" spans="1:18" x14ac:dyDescent="0.2">
      <c r="A217" s="50">
        <f t="shared" si="17"/>
        <v>214</v>
      </c>
      <c r="B217" s="57">
        <v>1</v>
      </c>
      <c r="C217" s="57">
        <v>1</v>
      </c>
      <c r="D217" s="57">
        <v>0</v>
      </c>
      <c r="E217" s="57">
        <v>1</v>
      </c>
      <c r="F217" s="57">
        <v>0</v>
      </c>
      <c r="G217" s="57">
        <v>1</v>
      </c>
      <c r="H217" s="57">
        <v>1</v>
      </c>
      <c r="I217" s="57">
        <v>0</v>
      </c>
      <c r="J217" s="58">
        <f t="shared" si="18"/>
        <v>128</v>
      </c>
      <c r="K217" s="57">
        <f t="shared" si="18"/>
        <v>64</v>
      </c>
      <c r="L217" s="57">
        <f t="shared" si="18"/>
        <v>0</v>
      </c>
      <c r="M217" s="57">
        <f t="shared" si="18"/>
        <v>16</v>
      </c>
      <c r="N217" s="57">
        <f t="shared" si="18"/>
        <v>0</v>
      </c>
      <c r="O217" s="57">
        <f t="shared" si="18"/>
        <v>4</v>
      </c>
      <c r="P217" s="57">
        <f t="shared" si="18"/>
        <v>2</v>
      </c>
      <c r="Q217" s="57">
        <f t="shared" si="18"/>
        <v>0</v>
      </c>
      <c r="R217" s="54">
        <f t="shared" si="16"/>
        <v>214</v>
      </c>
    </row>
    <row r="218" spans="1:18" x14ac:dyDescent="0.2">
      <c r="A218" s="50">
        <f t="shared" si="17"/>
        <v>215</v>
      </c>
      <c r="B218" s="57">
        <v>1</v>
      </c>
      <c r="C218" s="57">
        <v>1</v>
      </c>
      <c r="D218" s="57">
        <v>0</v>
      </c>
      <c r="E218" s="57">
        <v>1</v>
      </c>
      <c r="F218" s="57">
        <v>0</v>
      </c>
      <c r="G218" s="57">
        <v>1</v>
      </c>
      <c r="H218" s="57">
        <v>1</v>
      </c>
      <c r="I218" s="57">
        <v>1</v>
      </c>
      <c r="J218" s="58">
        <f t="shared" si="18"/>
        <v>128</v>
      </c>
      <c r="K218" s="57">
        <f t="shared" si="18"/>
        <v>64</v>
      </c>
      <c r="L218" s="57">
        <f t="shared" si="18"/>
        <v>0</v>
      </c>
      <c r="M218" s="57">
        <f t="shared" si="18"/>
        <v>16</v>
      </c>
      <c r="N218" s="57">
        <f t="shared" si="18"/>
        <v>0</v>
      </c>
      <c r="O218" s="57">
        <f t="shared" si="18"/>
        <v>4</v>
      </c>
      <c r="P218" s="57">
        <f t="shared" si="18"/>
        <v>2</v>
      </c>
      <c r="Q218" s="57">
        <f t="shared" si="18"/>
        <v>1</v>
      </c>
      <c r="R218" s="54">
        <f t="shared" si="16"/>
        <v>215</v>
      </c>
    </row>
    <row r="219" spans="1:18" x14ac:dyDescent="0.2">
      <c r="A219" s="50">
        <f t="shared" si="17"/>
        <v>216</v>
      </c>
      <c r="B219" s="57">
        <v>1</v>
      </c>
      <c r="C219" s="57">
        <v>1</v>
      </c>
      <c r="D219" s="57">
        <v>0</v>
      </c>
      <c r="E219" s="57">
        <v>1</v>
      </c>
      <c r="F219" s="57">
        <v>1</v>
      </c>
      <c r="G219" s="57">
        <v>0</v>
      </c>
      <c r="H219" s="57">
        <v>0</v>
      </c>
      <c r="I219" s="57">
        <v>0</v>
      </c>
      <c r="J219" s="58">
        <f t="shared" si="18"/>
        <v>128</v>
      </c>
      <c r="K219" s="57">
        <f t="shared" si="18"/>
        <v>64</v>
      </c>
      <c r="L219" s="57">
        <f t="shared" si="18"/>
        <v>0</v>
      </c>
      <c r="M219" s="57">
        <f t="shared" si="18"/>
        <v>16</v>
      </c>
      <c r="N219" s="57">
        <f t="shared" si="18"/>
        <v>8</v>
      </c>
      <c r="O219" s="57">
        <f t="shared" si="18"/>
        <v>0</v>
      </c>
      <c r="P219" s="57">
        <f t="shared" si="18"/>
        <v>0</v>
      </c>
      <c r="Q219" s="57">
        <f t="shared" si="18"/>
        <v>0</v>
      </c>
      <c r="R219" s="54">
        <f t="shared" si="16"/>
        <v>216</v>
      </c>
    </row>
    <row r="220" spans="1:18" x14ac:dyDescent="0.2">
      <c r="A220" s="50">
        <f t="shared" si="17"/>
        <v>217</v>
      </c>
      <c r="B220" s="57">
        <v>1</v>
      </c>
      <c r="C220" s="57">
        <v>1</v>
      </c>
      <c r="D220" s="57">
        <v>0</v>
      </c>
      <c r="E220" s="57">
        <v>1</v>
      </c>
      <c r="F220" s="57">
        <v>1</v>
      </c>
      <c r="G220" s="57">
        <v>0</v>
      </c>
      <c r="H220" s="57">
        <v>0</v>
      </c>
      <c r="I220" s="57">
        <v>1</v>
      </c>
      <c r="J220" s="58">
        <f t="shared" si="18"/>
        <v>128</v>
      </c>
      <c r="K220" s="57">
        <f t="shared" si="18"/>
        <v>64</v>
      </c>
      <c r="L220" s="57">
        <f t="shared" si="18"/>
        <v>0</v>
      </c>
      <c r="M220" s="57">
        <f t="shared" si="18"/>
        <v>16</v>
      </c>
      <c r="N220" s="57">
        <f t="shared" si="18"/>
        <v>8</v>
      </c>
      <c r="O220" s="57">
        <f t="shared" si="18"/>
        <v>0</v>
      </c>
      <c r="P220" s="57">
        <f t="shared" si="18"/>
        <v>0</v>
      </c>
      <c r="Q220" s="57">
        <f t="shared" si="18"/>
        <v>1</v>
      </c>
      <c r="R220" s="54">
        <f t="shared" si="16"/>
        <v>217</v>
      </c>
    </row>
    <row r="221" spans="1:18" x14ac:dyDescent="0.2">
      <c r="A221" s="50">
        <f t="shared" si="17"/>
        <v>218</v>
      </c>
      <c r="B221" s="57">
        <v>1</v>
      </c>
      <c r="C221" s="57">
        <v>1</v>
      </c>
      <c r="D221" s="57">
        <v>0</v>
      </c>
      <c r="E221" s="57">
        <v>1</v>
      </c>
      <c r="F221" s="57">
        <v>1</v>
      </c>
      <c r="G221" s="57">
        <v>0</v>
      </c>
      <c r="H221" s="57">
        <v>1</v>
      </c>
      <c r="I221" s="57">
        <v>0</v>
      </c>
      <c r="J221" s="58">
        <f t="shared" si="18"/>
        <v>128</v>
      </c>
      <c r="K221" s="57">
        <f t="shared" si="18"/>
        <v>64</v>
      </c>
      <c r="L221" s="57">
        <f t="shared" si="18"/>
        <v>0</v>
      </c>
      <c r="M221" s="57">
        <f t="shared" si="18"/>
        <v>16</v>
      </c>
      <c r="N221" s="57">
        <f t="shared" si="18"/>
        <v>8</v>
      </c>
      <c r="O221" s="57">
        <f t="shared" si="18"/>
        <v>0</v>
      </c>
      <c r="P221" s="57">
        <f t="shared" si="18"/>
        <v>2</v>
      </c>
      <c r="Q221" s="57">
        <f t="shared" si="18"/>
        <v>0</v>
      </c>
      <c r="R221" s="54">
        <f t="shared" si="16"/>
        <v>218</v>
      </c>
    </row>
    <row r="222" spans="1:18" x14ac:dyDescent="0.2">
      <c r="A222" s="50">
        <f t="shared" si="17"/>
        <v>219</v>
      </c>
      <c r="B222" s="57">
        <v>1</v>
      </c>
      <c r="C222" s="57">
        <v>1</v>
      </c>
      <c r="D222" s="57">
        <v>0</v>
      </c>
      <c r="E222" s="57">
        <v>1</v>
      </c>
      <c r="F222" s="57">
        <v>1</v>
      </c>
      <c r="G222" s="57">
        <v>0</v>
      </c>
      <c r="H222" s="57">
        <v>1</v>
      </c>
      <c r="I222" s="57">
        <v>1</v>
      </c>
      <c r="J222" s="58">
        <f t="shared" si="18"/>
        <v>128</v>
      </c>
      <c r="K222" s="57">
        <f t="shared" si="18"/>
        <v>64</v>
      </c>
      <c r="L222" s="57">
        <f t="shared" si="18"/>
        <v>0</v>
      </c>
      <c r="M222" s="57">
        <f t="shared" si="18"/>
        <v>16</v>
      </c>
      <c r="N222" s="57">
        <f t="shared" si="18"/>
        <v>8</v>
      </c>
      <c r="O222" s="57">
        <f t="shared" si="18"/>
        <v>0</v>
      </c>
      <c r="P222" s="57">
        <f t="shared" si="18"/>
        <v>2</v>
      </c>
      <c r="Q222" s="57">
        <f t="shared" si="18"/>
        <v>1</v>
      </c>
      <c r="R222" s="54">
        <f t="shared" si="16"/>
        <v>219</v>
      </c>
    </row>
    <row r="223" spans="1:18" x14ac:dyDescent="0.2">
      <c r="A223" s="50">
        <f t="shared" si="17"/>
        <v>220</v>
      </c>
      <c r="B223" s="57">
        <v>1</v>
      </c>
      <c r="C223" s="57">
        <v>1</v>
      </c>
      <c r="D223" s="57">
        <v>0</v>
      </c>
      <c r="E223" s="57">
        <v>1</v>
      </c>
      <c r="F223" s="57">
        <v>1</v>
      </c>
      <c r="G223" s="57">
        <v>1</v>
      </c>
      <c r="H223" s="57">
        <v>0</v>
      </c>
      <c r="I223" s="57">
        <v>0</v>
      </c>
      <c r="J223" s="58">
        <f t="shared" si="18"/>
        <v>128</v>
      </c>
      <c r="K223" s="57">
        <f t="shared" si="18"/>
        <v>64</v>
      </c>
      <c r="L223" s="57">
        <f t="shared" si="18"/>
        <v>0</v>
      </c>
      <c r="M223" s="57">
        <f t="shared" si="18"/>
        <v>16</v>
      </c>
      <c r="N223" s="57">
        <f t="shared" si="18"/>
        <v>8</v>
      </c>
      <c r="O223" s="57">
        <f t="shared" si="18"/>
        <v>4</v>
      </c>
      <c r="P223" s="57">
        <f t="shared" si="18"/>
        <v>0</v>
      </c>
      <c r="Q223" s="57">
        <f t="shared" si="18"/>
        <v>0</v>
      </c>
      <c r="R223" s="54">
        <f t="shared" si="16"/>
        <v>220</v>
      </c>
    </row>
    <row r="224" spans="1:18" x14ac:dyDescent="0.2">
      <c r="A224" s="50">
        <f t="shared" si="17"/>
        <v>221</v>
      </c>
      <c r="B224" s="57">
        <v>1</v>
      </c>
      <c r="C224" s="57">
        <v>1</v>
      </c>
      <c r="D224" s="57">
        <v>0</v>
      </c>
      <c r="E224" s="57">
        <v>1</v>
      </c>
      <c r="F224" s="57">
        <v>1</v>
      </c>
      <c r="G224" s="57">
        <v>1</v>
      </c>
      <c r="H224" s="57">
        <v>0</v>
      </c>
      <c r="I224" s="57">
        <v>1</v>
      </c>
      <c r="J224" s="58">
        <f t="shared" si="18"/>
        <v>128</v>
      </c>
      <c r="K224" s="57">
        <f t="shared" si="18"/>
        <v>64</v>
      </c>
      <c r="L224" s="57">
        <f t="shared" si="18"/>
        <v>0</v>
      </c>
      <c r="M224" s="57">
        <f t="shared" si="18"/>
        <v>16</v>
      </c>
      <c r="N224" s="57">
        <f t="shared" si="18"/>
        <v>8</v>
      </c>
      <c r="O224" s="57">
        <f t="shared" si="18"/>
        <v>4</v>
      </c>
      <c r="P224" s="57">
        <f t="shared" si="18"/>
        <v>0</v>
      </c>
      <c r="Q224" s="57">
        <f t="shared" si="18"/>
        <v>1</v>
      </c>
      <c r="R224" s="54">
        <f t="shared" si="16"/>
        <v>221</v>
      </c>
    </row>
    <row r="225" spans="1:18" x14ac:dyDescent="0.2">
      <c r="A225" s="50">
        <f t="shared" si="17"/>
        <v>222</v>
      </c>
      <c r="B225" s="57">
        <v>1</v>
      </c>
      <c r="C225" s="57">
        <v>1</v>
      </c>
      <c r="D225" s="57">
        <v>0</v>
      </c>
      <c r="E225" s="57">
        <v>1</v>
      </c>
      <c r="F225" s="57">
        <v>1</v>
      </c>
      <c r="G225" s="57">
        <v>1</v>
      </c>
      <c r="H225" s="57">
        <v>1</v>
      </c>
      <c r="I225" s="57">
        <v>0</v>
      </c>
      <c r="J225" s="58">
        <f t="shared" si="18"/>
        <v>128</v>
      </c>
      <c r="K225" s="57">
        <f t="shared" si="18"/>
        <v>64</v>
      </c>
      <c r="L225" s="57">
        <f t="shared" si="18"/>
        <v>0</v>
      </c>
      <c r="M225" s="57">
        <f t="shared" si="18"/>
        <v>16</v>
      </c>
      <c r="N225" s="57">
        <f t="shared" si="18"/>
        <v>8</v>
      </c>
      <c r="O225" s="57">
        <f t="shared" si="18"/>
        <v>4</v>
      </c>
      <c r="P225" s="57">
        <f t="shared" si="18"/>
        <v>2</v>
      </c>
      <c r="Q225" s="57">
        <f t="shared" si="18"/>
        <v>0</v>
      </c>
      <c r="R225" s="54">
        <f t="shared" si="16"/>
        <v>222</v>
      </c>
    </row>
    <row r="226" spans="1:18" x14ac:dyDescent="0.2">
      <c r="A226" s="50">
        <f t="shared" si="17"/>
        <v>223</v>
      </c>
      <c r="B226" s="57">
        <v>1</v>
      </c>
      <c r="C226" s="57">
        <v>1</v>
      </c>
      <c r="D226" s="57">
        <v>0</v>
      </c>
      <c r="E226" s="57">
        <v>1</v>
      </c>
      <c r="F226" s="57">
        <v>1</v>
      </c>
      <c r="G226" s="57">
        <v>1</v>
      </c>
      <c r="H226" s="57">
        <v>1</v>
      </c>
      <c r="I226" s="57">
        <v>1</v>
      </c>
      <c r="J226" s="58">
        <f t="shared" si="18"/>
        <v>128</v>
      </c>
      <c r="K226" s="57">
        <f t="shared" si="18"/>
        <v>64</v>
      </c>
      <c r="L226" s="57">
        <f t="shared" si="18"/>
        <v>0</v>
      </c>
      <c r="M226" s="57">
        <f t="shared" si="18"/>
        <v>16</v>
      </c>
      <c r="N226" s="57">
        <f t="shared" si="18"/>
        <v>8</v>
      </c>
      <c r="O226" s="57">
        <f t="shared" si="18"/>
        <v>4</v>
      </c>
      <c r="P226" s="57">
        <f t="shared" si="18"/>
        <v>2</v>
      </c>
      <c r="Q226" s="57">
        <f t="shared" si="18"/>
        <v>1</v>
      </c>
      <c r="R226" s="54">
        <f t="shared" si="16"/>
        <v>223</v>
      </c>
    </row>
    <row r="227" spans="1:18" x14ac:dyDescent="0.2">
      <c r="A227" s="50">
        <f t="shared" si="17"/>
        <v>224</v>
      </c>
      <c r="B227" s="57">
        <v>1</v>
      </c>
      <c r="C227" s="57">
        <v>1</v>
      </c>
      <c r="D227" s="57">
        <v>1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8">
        <f t="shared" si="18"/>
        <v>128</v>
      </c>
      <c r="K227" s="57">
        <f t="shared" si="18"/>
        <v>64</v>
      </c>
      <c r="L227" s="57">
        <f t="shared" si="18"/>
        <v>32</v>
      </c>
      <c r="M227" s="57">
        <f t="shared" si="18"/>
        <v>0</v>
      </c>
      <c r="N227" s="57">
        <f t="shared" si="18"/>
        <v>0</v>
      </c>
      <c r="O227" s="57">
        <f t="shared" si="18"/>
        <v>0</v>
      </c>
      <c r="P227" s="57">
        <f t="shared" si="18"/>
        <v>0</v>
      </c>
      <c r="Q227" s="57">
        <f t="shared" si="18"/>
        <v>0</v>
      </c>
      <c r="R227" s="54">
        <f t="shared" si="16"/>
        <v>224</v>
      </c>
    </row>
    <row r="228" spans="1:18" x14ac:dyDescent="0.2">
      <c r="A228" s="50">
        <f t="shared" si="17"/>
        <v>225</v>
      </c>
      <c r="B228" s="57">
        <v>1</v>
      </c>
      <c r="C228" s="57">
        <v>1</v>
      </c>
      <c r="D228" s="57">
        <v>1</v>
      </c>
      <c r="E228" s="57">
        <v>0</v>
      </c>
      <c r="F228" s="57">
        <v>0</v>
      </c>
      <c r="G228" s="57">
        <v>0</v>
      </c>
      <c r="H228" s="57">
        <v>0</v>
      </c>
      <c r="I228" s="57">
        <v>1</v>
      </c>
      <c r="J228" s="58">
        <f t="shared" si="18"/>
        <v>128</v>
      </c>
      <c r="K228" s="57">
        <f t="shared" si="18"/>
        <v>64</v>
      </c>
      <c r="L228" s="57">
        <f t="shared" si="18"/>
        <v>32</v>
      </c>
      <c r="M228" s="57">
        <f t="shared" si="18"/>
        <v>0</v>
      </c>
      <c r="N228" s="57">
        <f t="shared" si="18"/>
        <v>0</v>
      </c>
      <c r="O228" s="57">
        <f t="shared" si="18"/>
        <v>0</v>
      </c>
      <c r="P228" s="57">
        <f t="shared" si="18"/>
        <v>0</v>
      </c>
      <c r="Q228" s="57">
        <f t="shared" si="18"/>
        <v>1</v>
      </c>
      <c r="R228" s="54">
        <f t="shared" si="16"/>
        <v>225</v>
      </c>
    </row>
    <row r="229" spans="1:18" x14ac:dyDescent="0.2">
      <c r="A229" s="50">
        <f t="shared" si="17"/>
        <v>226</v>
      </c>
      <c r="B229" s="57">
        <v>1</v>
      </c>
      <c r="C229" s="57">
        <v>1</v>
      </c>
      <c r="D229" s="57">
        <v>1</v>
      </c>
      <c r="E229" s="57">
        <v>0</v>
      </c>
      <c r="F229" s="57">
        <v>0</v>
      </c>
      <c r="G229" s="57">
        <v>0</v>
      </c>
      <c r="H229" s="57">
        <v>1</v>
      </c>
      <c r="I229" s="57">
        <v>0</v>
      </c>
      <c r="J229" s="58">
        <f t="shared" si="18"/>
        <v>128</v>
      </c>
      <c r="K229" s="57">
        <f t="shared" si="18"/>
        <v>64</v>
      </c>
      <c r="L229" s="57">
        <f t="shared" si="18"/>
        <v>32</v>
      </c>
      <c r="M229" s="57">
        <f t="shared" si="18"/>
        <v>0</v>
      </c>
      <c r="N229" s="57">
        <f t="shared" si="18"/>
        <v>0</v>
      </c>
      <c r="O229" s="57">
        <f t="shared" si="18"/>
        <v>0</v>
      </c>
      <c r="P229" s="57">
        <f t="shared" si="18"/>
        <v>2</v>
      </c>
      <c r="Q229" s="57">
        <f t="shared" si="18"/>
        <v>0</v>
      </c>
      <c r="R229" s="54">
        <f t="shared" si="16"/>
        <v>226</v>
      </c>
    </row>
    <row r="230" spans="1:18" x14ac:dyDescent="0.2">
      <c r="A230" s="50">
        <f t="shared" si="17"/>
        <v>227</v>
      </c>
      <c r="B230" s="57">
        <v>1</v>
      </c>
      <c r="C230" s="57">
        <v>1</v>
      </c>
      <c r="D230" s="57">
        <v>1</v>
      </c>
      <c r="E230" s="57">
        <v>0</v>
      </c>
      <c r="F230" s="57">
        <v>0</v>
      </c>
      <c r="G230" s="57">
        <v>0</v>
      </c>
      <c r="H230" s="57">
        <v>1</v>
      </c>
      <c r="I230" s="57">
        <v>1</v>
      </c>
      <c r="J230" s="58">
        <f t="shared" si="18"/>
        <v>128</v>
      </c>
      <c r="K230" s="57">
        <f t="shared" si="18"/>
        <v>64</v>
      </c>
      <c r="L230" s="57">
        <f t="shared" si="18"/>
        <v>32</v>
      </c>
      <c r="M230" s="57">
        <f t="shared" si="18"/>
        <v>0</v>
      </c>
      <c r="N230" s="57">
        <f t="shared" si="18"/>
        <v>0</v>
      </c>
      <c r="O230" s="57">
        <f t="shared" si="18"/>
        <v>0</v>
      </c>
      <c r="P230" s="57">
        <f t="shared" si="18"/>
        <v>2</v>
      </c>
      <c r="Q230" s="57">
        <f t="shared" si="18"/>
        <v>1</v>
      </c>
      <c r="R230" s="54">
        <f t="shared" si="16"/>
        <v>227</v>
      </c>
    </row>
    <row r="231" spans="1:18" x14ac:dyDescent="0.2">
      <c r="A231" s="50">
        <f t="shared" si="17"/>
        <v>228</v>
      </c>
      <c r="B231" s="57">
        <v>1</v>
      </c>
      <c r="C231" s="57">
        <v>1</v>
      </c>
      <c r="D231" s="57">
        <v>1</v>
      </c>
      <c r="E231" s="57">
        <v>0</v>
      </c>
      <c r="F231" s="57">
        <v>0</v>
      </c>
      <c r="G231" s="57">
        <v>1</v>
      </c>
      <c r="H231" s="57">
        <v>0</v>
      </c>
      <c r="I231" s="57">
        <v>0</v>
      </c>
      <c r="J231" s="58">
        <f t="shared" si="18"/>
        <v>128</v>
      </c>
      <c r="K231" s="57">
        <f t="shared" si="18"/>
        <v>64</v>
      </c>
      <c r="L231" s="57">
        <f t="shared" si="18"/>
        <v>32</v>
      </c>
      <c r="M231" s="57">
        <f t="shared" si="18"/>
        <v>0</v>
      </c>
      <c r="N231" s="57">
        <f t="shared" si="18"/>
        <v>0</v>
      </c>
      <c r="O231" s="57">
        <f t="shared" si="18"/>
        <v>4</v>
      </c>
      <c r="P231" s="57">
        <f t="shared" si="18"/>
        <v>0</v>
      </c>
      <c r="Q231" s="57">
        <f t="shared" si="18"/>
        <v>0</v>
      </c>
      <c r="R231" s="54">
        <f t="shared" si="16"/>
        <v>228</v>
      </c>
    </row>
    <row r="232" spans="1:18" x14ac:dyDescent="0.2">
      <c r="A232" s="50">
        <f t="shared" si="17"/>
        <v>229</v>
      </c>
      <c r="B232" s="57">
        <v>1</v>
      </c>
      <c r="C232" s="57">
        <v>1</v>
      </c>
      <c r="D232" s="57">
        <v>1</v>
      </c>
      <c r="E232" s="57">
        <v>0</v>
      </c>
      <c r="F232" s="57">
        <v>0</v>
      </c>
      <c r="G232" s="57">
        <v>1</v>
      </c>
      <c r="H232" s="57">
        <v>0</v>
      </c>
      <c r="I232" s="57">
        <v>1</v>
      </c>
      <c r="J232" s="58">
        <f t="shared" si="18"/>
        <v>128</v>
      </c>
      <c r="K232" s="57">
        <f t="shared" si="18"/>
        <v>64</v>
      </c>
      <c r="L232" s="57">
        <f t="shared" si="18"/>
        <v>32</v>
      </c>
      <c r="M232" s="57">
        <f t="shared" si="18"/>
        <v>0</v>
      </c>
      <c r="N232" s="57">
        <f t="shared" si="18"/>
        <v>0</v>
      </c>
      <c r="O232" s="57">
        <f t="shared" si="18"/>
        <v>4</v>
      </c>
      <c r="P232" s="57">
        <f t="shared" si="18"/>
        <v>0</v>
      </c>
      <c r="Q232" s="57">
        <f t="shared" si="18"/>
        <v>1</v>
      </c>
      <c r="R232" s="54">
        <f t="shared" si="16"/>
        <v>229</v>
      </c>
    </row>
    <row r="233" spans="1:18" x14ac:dyDescent="0.2">
      <c r="A233" s="50">
        <f t="shared" si="17"/>
        <v>230</v>
      </c>
      <c r="B233" s="57">
        <v>1</v>
      </c>
      <c r="C233" s="57">
        <v>1</v>
      </c>
      <c r="D233" s="57">
        <v>1</v>
      </c>
      <c r="E233" s="57">
        <v>0</v>
      </c>
      <c r="F233" s="57">
        <v>0</v>
      </c>
      <c r="G233" s="57">
        <v>1</v>
      </c>
      <c r="H233" s="57">
        <v>1</v>
      </c>
      <c r="I233" s="57">
        <v>0</v>
      </c>
      <c r="J233" s="58">
        <f t="shared" si="18"/>
        <v>128</v>
      </c>
      <c r="K233" s="57">
        <f t="shared" si="18"/>
        <v>64</v>
      </c>
      <c r="L233" s="57">
        <f t="shared" si="18"/>
        <v>32</v>
      </c>
      <c r="M233" s="57">
        <f t="shared" si="18"/>
        <v>0</v>
      </c>
      <c r="N233" s="57">
        <f t="shared" si="18"/>
        <v>0</v>
      </c>
      <c r="O233" s="57">
        <f t="shared" si="18"/>
        <v>4</v>
      </c>
      <c r="P233" s="57">
        <f t="shared" si="18"/>
        <v>2</v>
      </c>
      <c r="Q233" s="57">
        <f t="shared" si="18"/>
        <v>0</v>
      </c>
      <c r="R233" s="54">
        <f t="shared" si="16"/>
        <v>230</v>
      </c>
    </row>
    <row r="234" spans="1:18" x14ac:dyDescent="0.2">
      <c r="A234" s="50">
        <f t="shared" si="17"/>
        <v>231</v>
      </c>
      <c r="B234" s="57">
        <v>1</v>
      </c>
      <c r="C234" s="57">
        <v>1</v>
      </c>
      <c r="D234" s="57">
        <v>1</v>
      </c>
      <c r="E234" s="57">
        <v>0</v>
      </c>
      <c r="F234" s="57">
        <v>0</v>
      </c>
      <c r="G234" s="57">
        <v>1</v>
      </c>
      <c r="H234" s="57">
        <v>1</v>
      </c>
      <c r="I234" s="57">
        <v>1</v>
      </c>
      <c r="J234" s="58">
        <f t="shared" si="18"/>
        <v>128</v>
      </c>
      <c r="K234" s="57">
        <f t="shared" si="18"/>
        <v>64</v>
      </c>
      <c r="L234" s="57">
        <f t="shared" si="18"/>
        <v>32</v>
      </c>
      <c r="M234" s="57">
        <f t="shared" si="18"/>
        <v>0</v>
      </c>
      <c r="N234" s="57">
        <f t="shared" si="18"/>
        <v>0</v>
      </c>
      <c r="O234" s="57">
        <f t="shared" si="18"/>
        <v>4</v>
      </c>
      <c r="P234" s="57">
        <f t="shared" si="18"/>
        <v>2</v>
      </c>
      <c r="Q234" s="57">
        <f t="shared" si="18"/>
        <v>1</v>
      </c>
      <c r="R234" s="54">
        <f t="shared" si="16"/>
        <v>231</v>
      </c>
    </row>
    <row r="235" spans="1:18" x14ac:dyDescent="0.2">
      <c r="A235" s="50">
        <f t="shared" si="17"/>
        <v>232</v>
      </c>
      <c r="B235" s="57">
        <v>1</v>
      </c>
      <c r="C235" s="57">
        <v>1</v>
      </c>
      <c r="D235" s="57">
        <v>1</v>
      </c>
      <c r="E235" s="57">
        <v>0</v>
      </c>
      <c r="F235" s="57">
        <v>1</v>
      </c>
      <c r="G235" s="57">
        <v>0</v>
      </c>
      <c r="H235" s="57">
        <v>0</v>
      </c>
      <c r="I235" s="57">
        <v>0</v>
      </c>
      <c r="J235" s="58">
        <f t="shared" si="18"/>
        <v>128</v>
      </c>
      <c r="K235" s="57">
        <f t="shared" si="18"/>
        <v>64</v>
      </c>
      <c r="L235" s="57">
        <f t="shared" si="18"/>
        <v>32</v>
      </c>
      <c r="M235" s="57">
        <f t="shared" si="18"/>
        <v>0</v>
      </c>
      <c r="N235" s="57">
        <f t="shared" si="18"/>
        <v>8</v>
      </c>
      <c r="O235" s="57">
        <f t="shared" si="18"/>
        <v>0</v>
      </c>
      <c r="P235" s="57">
        <f t="shared" si="18"/>
        <v>0</v>
      </c>
      <c r="Q235" s="57">
        <f t="shared" si="18"/>
        <v>0</v>
      </c>
      <c r="R235" s="54">
        <f t="shared" si="16"/>
        <v>232</v>
      </c>
    </row>
    <row r="236" spans="1:18" x14ac:dyDescent="0.2">
      <c r="A236" s="50">
        <f t="shared" si="17"/>
        <v>233</v>
      </c>
      <c r="B236" s="57">
        <v>1</v>
      </c>
      <c r="C236" s="57">
        <v>1</v>
      </c>
      <c r="D236" s="57">
        <v>1</v>
      </c>
      <c r="E236" s="57">
        <v>0</v>
      </c>
      <c r="F236" s="57">
        <v>1</v>
      </c>
      <c r="G236" s="57">
        <v>0</v>
      </c>
      <c r="H236" s="57">
        <v>0</v>
      </c>
      <c r="I236" s="57">
        <v>1</v>
      </c>
      <c r="J236" s="58">
        <f t="shared" si="18"/>
        <v>128</v>
      </c>
      <c r="K236" s="57">
        <f t="shared" si="18"/>
        <v>64</v>
      </c>
      <c r="L236" s="57">
        <f t="shared" si="18"/>
        <v>32</v>
      </c>
      <c r="M236" s="57">
        <f t="shared" si="18"/>
        <v>0</v>
      </c>
      <c r="N236" s="57">
        <f t="shared" si="18"/>
        <v>8</v>
      </c>
      <c r="O236" s="57">
        <f t="shared" si="18"/>
        <v>0</v>
      </c>
      <c r="P236" s="57">
        <f t="shared" si="18"/>
        <v>0</v>
      </c>
      <c r="Q236" s="57">
        <f t="shared" si="18"/>
        <v>1</v>
      </c>
      <c r="R236" s="54">
        <f t="shared" si="16"/>
        <v>233</v>
      </c>
    </row>
    <row r="237" spans="1:18" x14ac:dyDescent="0.2">
      <c r="A237" s="50">
        <f t="shared" si="17"/>
        <v>234</v>
      </c>
      <c r="B237" s="57">
        <v>1</v>
      </c>
      <c r="C237" s="57">
        <v>1</v>
      </c>
      <c r="D237" s="57">
        <v>1</v>
      </c>
      <c r="E237" s="57">
        <v>0</v>
      </c>
      <c r="F237" s="57">
        <v>1</v>
      </c>
      <c r="G237" s="57">
        <v>0</v>
      </c>
      <c r="H237" s="57">
        <v>1</v>
      </c>
      <c r="I237" s="57">
        <v>0</v>
      </c>
      <c r="J237" s="58">
        <f t="shared" si="18"/>
        <v>128</v>
      </c>
      <c r="K237" s="57">
        <f t="shared" si="18"/>
        <v>64</v>
      </c>
      <c r="L237" s="57">
        <f t="shared" si="18"/>
        <v>32</v>
      </c>
      <c r="M237" s="57">
        <f t="shared" ref="M237:Q258" si="19">IF(E237=1,E$2,0)</f>
        <v>0</v>
      </c>
      <c r="N237" s="57">
        <f t="shared" si="19"/>
        <v>8</v>
      </c>
      <c r="O237" s="57">
        <f t="shared" si="19"/>
        <v>0</v>
      </c>
      <c r="P237" s="57">
        <f t="shared" si="19"/>
        <v>2</v>
      </c>
      <c r="Q237" s="57">
        <f t="shared" si="19"/>
        <v>0</v>
      </c>
      <c r="R237" s="54">
        <f t="shared" si="16"/>
        <v>234</v>
      </c>
    </row>
    <row r="238" spans="1:18" x14ac:dyDescent="0.2">
      <c r="A238" s="50">
        <f t="shared" si="17"/>
        <v>235</v>
      </c>
      <c r="B238" s="57">
        <v>1</v>
      </c>
      <c r="C238" s="57">
        <v>1</v>
      </c>
      <c r="D238" s="57">
        <v>1</v>
      </c>
      <c r="E238" s="57">
        <v>0</v>
      </c>
      <c r="F238" s="57">
        <v>1</v>
      </c>
      <c r="G238" s="57">
        <v>0</v>
      </c>
      <c r="H238" s="57">
        <v>1</v>
      </c>
      <c r="I238" s="57">
        <v>1</v>
      </c>
      <c r="J238" s="58">
        <f t="shared" ref="J238:L258" si="20">IF(B238=1,B$2,0)</f>
        <v>128</v>
      </c>
      <c r="K238" s="57">
        <f t="shared" si="20"/>
        <v>64</v>
      </c>
      <c r="L238" s="57">
        <f t="shared" si="20"/>
        <v>32</v>
      </c>
      <c r="M238" s="57">
        <f t="shared" si="19"/>
        <v>0</v>
      </c>
      <c r="N238" s="57">
        <f t="shared" si="19"/>
        <v>8</v>
      </c>
      <c r="O238" s="57">
        <f t="shared" si="19"/>
        <v>0</v>
      </c>
      <c r="P238" s="57">
        <f t="shared" si="19"/>
        <v>2</v>
      </c>
      <c r="Q238" s="57">
        <f t="shared" si="19"/>
        <v>1</v>
      </c>
      <c r="R238" s="54">
        <f t="shared" si="16"/>
        <v>235</v>
      </c>
    </row>
    <row r="239" spans="1:18" x14ac:dyDescent="0.2">
      <c r="A239" s="50">
        <f t="shared" si="17"/>
        <v>236</v>
      </c>
      <c r="B239" s="57">
        <v>1</v>
      </c>
      <c r="C239" s="57">
        <v>1</v>
      </c>
      <c r="D239" s="57">
        <v>1</v>
      </c>
      <c r="E239" s="57">
        <v>0</v>
      </c>
      <c r="F239" s="57">
        <v>1</v>
      </c>
      <c r="G239" s="57">
        <v>1</v>
      </c>
      <c r="H239" s="57">
        <v>0</v>
      </c>
      <c r="I239" s="57">
        <v>0</v>
      </c>
      <c r="J239" s="58">
        <f t="shared" si="20"/>
        <v>128</v>
      </c>
      <c r="K239" s="57">
        <f t="shared" si="20"/>
        <v>64</v>
      </c>
      <c r="L239" s="57">
        <f t="shared" si="20"/>
        <v>32</v>
      </c>
      <c r="M239" s="57">
        <f t="shared" si="19"/>
        <v>0</v>
      </c>
      <c r="N239" s="57">
        <f t="shared" si="19"/>
        <v>8</v>
      </c>
      <c r="O239" s="57">
        <f t="shared" si="19"/>
        <v>4</v>
      </c>
      <c r="P239" s="57">
        <f t="shared" si="19"/>
        <v>0</v>
      </c>
      <c r="Q239" s="57">
        <f t="shared" si="19"/>
        <v>0</v>
      </c>
      <c r="R239" s="54">
        <f t="shared" si="16"/>
        <v>236</v>
      </c>
    </row>
    <row r="240" spans="1:18" x14ac:dyDescent="0.2">
      <c r="A240" s="50">
        <f t="shared" si="17"/>
        <v>237</v>
      </c>
      <c r="B240" s="57">
        <v>1</v>
      </c>
      <c r="C240" s="57">
        <v>1</v>
      </c>
      <c r="D240" s="57">
        <v>1</v>
      </c>
      <c r="E240" s="57">
        <v>0</v>
      </c>
      <c r="F240" s="57">
        <v>1</v>
      </c>
      <c r="G240" s="57">
        <v>1</v>
      </c>
      <c r="H240" s="57">
        <v>0</v>
      </c>
      <c r="I240" s="57">
        <v>1</v>
      </c>
      <c r="J240" s="58">
        <f t="shared" si="20"/>
        <v>128</v>
      </c>
      <c r="K240" s="57">
        <f t="shared" si="20"/>
        <v>64</v>
      </c>
      <c r="L240" s="57">
        <f t="shared" si="20"/>
        <v>32</v>
      </c>
      <c r="M240" s="57">
        <f t="shared" si="19"/>
        <v>0</v>
      </c>
      <c r="N240" s="57">
        <f t="shared" si="19"/>
        <v>8</v>
      </c>
      <c r="O240" s="57">
        <f t="shared" si="19"/>
        <v>4</v>
      </c>
      <c r="P240" s="57">
        <f t="shared" si="19"/>
        <v>0</v>
      </c>
      <c r="Q240" s="57">
        <f t="shared" si="19"/>
        <v>1</v>
      </c>
      <c r="R240" s="54">
        <f t="shared" si="16"/>
        <v>237</v>
      </c>
    </row>
    <row r="241" spans="1:18" x14ac:dyDescent="0.2">
      <c r="A241" s="50">
        <f t="shared" si="17"/>
        <v>238</v>
      </c>
      <c r="B241" s="57">
        <v>1</v>
      </c>
      <c r="C241" s="57">
        <v>1</v>
      </c>
      <c r="D241" s="57">
        <v>1</v>
      </c>
      <c r="E241" s="57">
        <v>0</v>
      </c>
      <c r="F241" s="57">
        <v>1</v>
      </c>
      <c r="G241" s="57">
        <v>1</v>
      </c>
      <c r="H241" s="57">
        <v>1</v>
      </c>
      <c r="I241" s="57">
        <v>0</v>
      </c>
      <c r="J241" s="58">
        <f t="shared" si="20"/>
        <v>128</v>
      </c>
      <c r="K241" s="57">
        <f t="shared" si="20"/>
        <v>64</v>
      </c>
      <c r="L241" s="57">
        <f t="shared" si="20"/>
        <v>32</v>
      </c>
      <c r="M241" s="57">
        <f t="shared" si="19"/>
        <v>0</v>
      </c>
      <c r="N241" s="57">
        <f t="shared" si="19"/>
        <v>8</v>
      </c>
      <c r="O241" s="57">
        <f t="shared" si="19"/>
        <v>4</v>
      </c>
      <c r="P241" s="57">
        <f t="shared" si="19"/>
        <v>2</v>
      </c>
      <c r="Q241" s="57">
        <f t="shared" si="19"/>
        <v>0</v>
      </c>
      <c r="R241" s="54">
        <f t="shared" si="16"/>
        <v>238</v>
      </c>
    </row>
    <row r="242" spans="1:18" x14ac:dyDescent="0.2">
      <c r="A242" s="50">
        <f t="shared" si="17"/>
        <v>239</v>
      </c>
      <c r="B242" s="57">
        <v>1</v>
      </c>
      <c r="C242" s="57">
        <v>1</v>
      </c>
      <c r="D242" s="57">
        <v>1</v>
      </c>
      <c r="E242" s="57">
        <v>0</v>
      </c>
      <c r="F242" s="57">
        <v>1</v>
      </c>
      <c r="G242" s="57">
        <v>1</v>
      </c>
      <c r="H242" s="57">
        <v>1</v>
      </c>
      <c r="I242" s="57">
        <v>1</v>
      </c>
      <c r="J242" s="58">
        <f t="shared" si="20"/>
        <v>128</v>
      </c>
      <c r="K242" s="57">
        <f t="shared" si="20"/>
        <v>64</v>
      </c>
      <c r="L242" s="57">
        <f t="shared" si="20"/>
        <v>32</v>
      </c>
      <c r="M242" s="57">
        <f t="shared" si="19"/>
        <v>0</v>
      </c>
      <c r="N242" s="57">
        <f t="shared" si="19"/>
        <v>8</v>
      </c>
      <c r="O242" s="57">
        <f t="shared" si="19"/>
        <v>4</v>
      </c>
      <c r="P242" s="57">
        <f t="shared" si="19"/>
        <v>2</v>
      </c>
      <c r="Q242" s="57">
        <f t="shared" si="19"/>
        <v>1</v>
      </c>
      <c r="R242" s="54">
        <f t="shared" si="16"/>
        <v>239</v>
      </c>
    </row>
    <row r="243" spans="1:18" x14ac:dyDescent="0.2">
      <c r="A243" s="50">
        <f t="shared" si="17"/>
        <v>240</v>
      </c>
      <c r="B243" s="57">
        <v>1</v>
      </c>
      <c r="C243" s="57">
        <v>1</v>
      </c>
      <c r="D243" s="57">
        <v>1</v>
      </c>
      <c r="E243" s="57">
        <v>1</v>
      </c>
      <c r="F243" s="57">
        <v>0</v>
      </c>
      <c r="G243" s="57">
        <v>0</v>
      </c>
      <c r="H243" s="57">
        <v>0</v>
      </c>
      <c r="I243" s="57">
        <v>0</v>
      </c>
      <c r="J243" s="58">
        <f t="shared" si="20"/>
        <v>128</v>
      </c>
      <c r="K243" s="57">
        <f t="shared" si="20"/>
        <v>64</v>
      </c>
      <c r="L243" s="57">
        <f t="shared" si="20"/>
        <v>32</v>
      </c>
      <c r="M243" s="57">
        <f t="shared" si="19"/>
        <v>16</v>
      </c>
      <c r="N243" s="57">
        <f t="shared" si="19"/>
        <v>0</v>
      </c>
      <c r="O243" s="57">
        <f t="shared" si="19"/>
        <v>0</v>
      </c>
      <c r="P243" s="57">
        <f t="shared" si="19"/>
        <v>0</v>
      </c>
      <c r="Q243" s="57">
        <f t="shared" si="19"/>
        <v>0</v>
      </c>
      <c r="R243" s="54">
        <f t="shared" si="16"/>
        <v>240</v>
      </c>
    </row>
    <row r="244" spans="1:18" x14ac:dyDescent="0.2">
      <c r="A244" s="50">
        <f t="shared" si="17"/>
        <v>241</v>
      </c>
      <c r="B244" s="57">
        <v>1</v>
      </c>
      <c r="C244" s="57">
        <v>1</v>
      </c>
      <c r="D244" s="57">
        <v>1</v>
      </c>
      <c r="E244" s="57">
        <v>1</v>
      </c>
      <c r="F244" s="57">
        <v>0</v>
      </c>
      <c r="G244" s="57">
        <v>0</v>
      </c>
      <c r="H244" s="57">
        <v>0</v>
      </c>
      <c r="I244" s="57">
        <v>1</v>
      </c>
      <c r="J244" s="58">
        <f t="shared" si="20"/>
        <v>128</v>
      </c>
      <c r="K244" s="57">
        <f t="shared" si="20"/>
        <v>64</v>
      </c>
      <c r="L244" s="57">
        <f t="shared" si="20"/>
        <v>32</v>
      </c>
      <c r="M244" s="57">
        <f t="shared" si="19"/>
        <v>16</v>
      </c>
      <c r="N244" s="57">
        <f t="shared" si="19"/>
        <v>0</v>
      </c>
      <c r="O244" s="57">
        <f t="shared" si="19"/>
        <v>0</v>
      </c>
      <c r="P244" s="57">
        <f t="shared" si="19"/>
        <v>0</v>
      </c>
      <c r="Q244" s="57">
        <f t="shared" si="19"/>
        <v>1</v>
      </c>
      <c r="R244" s="54">
        <f t="shared" si="16"/>
        <v>241</v>
      </c>
    </row>
    <row r="245" spans="1:18" x14ac:dyDescent="0.2">
      <c r="A245" s="50">
        <f t="shared" si="17"/>
        <v>242</v>
      </c>
      <c r="B245" s="57">
        <v>1</v>
      </c>
      <c r="C245" s="57">
        <v>1</v>
      </c>
      <c r="D245" s="57">
        <v>1</v>
      </c>
      <c r="E245" s="57">
        <v>1</v>
      </c>
      <c r="F245" s="57">
        <v>0</v>
      </c>
      <c r="G245" s="57">
        <v>0</v>
      </c>
      <c r="H245" s="57">
        <v>1</v>
      </c>
      <c r="I245" s="57">
        <v>0</v>
      </c>
      <c r="J245" s="58">
        <f t="shared" si="20"/>
        <v>128</v>
      </c>
      <c r="K245" s="57">
        <f t="shared" si="20"/>
        <v>64</v>
      </c>
      <c r="L245" s="57">
        <f t="shared" si="20"/>
        <v>32</v>
      </c>
      <c r="M245" s="57">
        <f t="shared" si="19"/>
        <v>16</v>
      </c>
      <c r="N245" s="57">
        <f t="shared" si="19"/>
        <v>0</v>
      </c>
      <c r="O245" s="57">
        <f t="shared" si="19"/>
        <v>0</v>
      </c>
      <c r="P245" s="57">
        <f t="shared" si="19"/>
        <v>2</v>
      </c>
      <c r="Q245" s="57">
        <f t="shared" si="19"/>
        <v>0</v>
      </c>
      <c r="R245" s="54">
        <f t="shared" si="16"/>
        <v>242</v>
      </c>
    </row>
    <row r="246" spans="1:18" x14ac:dyDescent="0.2">
      <c r="A246" s="50">
        <f t="shared" si="17"/>
        <v>243</v>
      </c>
      <c r="B246" s="57">
        <v>1</v>
      </c>
      <c r="C246" s="57">
        <v>1</v>
      </c>
      <c r="D246" s="57">
        <v>1</v>
      </c>
      <c r="E246" s="57">
        <v>1</v>
      </c>
      <c r="F246" s="57">
        <v>0</v>
      </c>
      <c r="G246" s="57">
        <v>0</v>
      </c>
      <c r="H246" s="57">
        <v>1</v>
      </c>
      <c r="I246" s="57">
        <v>1</v>
      </c>
      <c r="J246" s="58">
        <f t="shared" si="20"/>
        <v>128</v>
      </c>
      <c r="K246" s="57">
        <f t="shared" si="20"/>
        <v>64</v>
      </c>
      <c r="L246" s="57">
        <f t="shared" si="20"/>
        <v>32</v>
      </c>
      <c r="M246" s="57">
        <f t="shared" si="19"/>
        <v>16</v>
      </c>
      <c r="N246" s="57">
        <f t="shared" si="19"/>
        <v>0</v>
      </c>
      <c r="O246" s="57">
        <f t="shared" si="19"/>
        <v>0</v>
      </c>
      <c r="P246" s="57">
        <f t="shared" si="19"/>
        <v>2</v>
      </c>
      <c r="Q246" s="57">
        <f t="shared" si="19"/>
        <v>1</v>
      </c>
      <c r="R246" s="54">
        <f t="shared" si="16"/>
        <v>243</v>
      </c>
    </row>
    <row r="247" spans="1:18" x14ac:dyDescent="0.2">
      <c r="A247" s="50">
        <f t="shared" si="17"/>
        <v>244</v>
      </c>
      <c r="B247" s="57">
        <v>1</v>
      </c>
      <c r="C247" s="57">
        <v>1</v>
      </c>
      <c r="D247" s="57">
        <v>1</v>
      </c>
      <c r="E247" s="57">
        <v>1</v>
      </c>
      <c r="F247" s="57">
        <v>0</v>
      </c>
      <c r="G247" s="57">
        <v>1</v>
      </c>
      <c r="H247" s="57">
        <v>0</v>
      </c>
      <c r="I247" s="57">
        <v>0</v>
      </c>
      <c r="J247" s="58">
        <f t="shared" si="20"/>
        <v>128</v>
      </c>
      <c r="K247" s="57">
        <f t="shared" si="20"/>
        <v>64</v>
      </c>
      <c r="L247" s="57">
        <f t="shared" si="20"/>
        <v>32</v>
      </c>
      <c r="M247" s="57">
        <f t="shared" si="19"/>
        <v>16</v>
      </c>
      <c r="N247" s="57">
        <f t="shared" si="19"/>
        <v>0</v>
      </c>
      <c r="O247" s="57">
        <f t="shared" si="19"/>
        <v>4</v>
      </c>
      <c r="P247" s="57">
        <f t="shared" si="19"/>
        <v>0</v>
      </c>
      <c r="Q247" s="57">
        <f t="shared" si="19"/>
        <v>0</v>
      </c>
      <c r="R247" s="54">
        <f t="shared" si="16"/>
        <v>244</v>
      </c>
    </row>
    <row r="248" spans="1:18" x14ac:dyDescent="0.2">
      <c r="A248" s="50">
        <f t="shared" si="17"/>
        <v>245</v>
      </c>
      <c r="B248" s="57">
        <v>1</v>
      </c>
      <c r="C248" s="57">
        <v>1</v>
      </c>
      <c r="D248" s="57">
        <v>1</v>
      </c>
      <c r="E248" s="57">
        <v>1</v>
      </c>
      <c r="F248" s="57">
        <v>0</v>
      </c>
      <c r="G248" s="57">
        <v>1</v>
      </c>
      <c r="H248" s="57">
        <v>0</v>
      </c>
      <c r="I248" s="57">
        <v>1</v>
      </c>
      <c r="J248" s="58">
        <f t="shared" si="20"/>
        <v>128</v>
      </c>
      <c r="K248" s="57">
        <f t="shared" si="20"/>
        <v>64</v>
      </c>
      <c r="L248" s="57">
        <f t="shared" si="20"/>
        <v>32</v>
      </c>
      <c r="M248" s="57">
        <f t="shared" si="19"/>
        <v>16</v>
      </c>
      <c r="N248" s="57">
        <f t="shared" si="19"/>
        <v>0</v>
      </c>
      <c r="O248" s="57">
        <f t="shared" si="19"/>
        <v>4</v>
      </c>
      <c r="P248" s="57">
        <f t="shared" si="19"/>
        <v>0</v>
      </c>
      <c r="Q248" s="57">
        <f t="shared" si="19"/>
        <v>1</v>
      </c>
      <c r="R248" s="54">
        <f t="shared" si="16"/>
        <v>245</v>
      </c>
    </row>
    <row r="249" spans="1:18" x14ac:dyDescent="0.2">
      <c r="A249" s="50">
        <f t="shared" si="17"/>
        <v>246</v>
      </c>
      <c r="B249" s="57">
        <v>1</v>
      </c>
      <c r="C249" s="57">
        <v>1</v>
      </c>
      <c r="D249" s="57">
        <v>1</v>
      </c>
      <c r="E249" s="57">
        <v>1</v>
      </c>
      <c r="F249" s="57">
        <v>0</v>
      </c>
      <c r="G249" s="57">
        <v>1</v>
      </c>
      <c r="H249" s="57">
        <v>1</v>
      </c>
      <c r="I249" s="57">
        <v>0</v>
      </c>
      <c r="J249" s="58">
        <f t="shared" si="20"/>
        <v>128</v>
      </c>
      <c r="K249" s="57">
        <f t="shared" si="20"/>
        <v>64</v>
      </c>
      <c r="L249" s="57">
        <f t="shared" si="20"/>
        <v>32</v>
      </c>
      <c r="M249" s="57">
        <f t="shared" si="19"/>
        <v>16</v>
      </c>
      <c r="N249" s="57">
        <f t="shared" si="19"/>
        <v>0</v>
      </c>
      <c r="O249" s="57">
        <f t="shared" si="19"/>
        <v>4</v>
      </c>
      <c r="P249" s="57">
        <f t="shared" si="19"/>
        <v>2</v>
      </c>
      <c r="Q249" s="57">
        <f t="shared" si="19"/>
        <v>0</v>
      </c>
      <c r="R249" s="54">
        <f t="shared" si="16"/>
        <v>246</v>
      </c>
    </row>
    <row r="250" spans="1:18" x14ac:dyDescent="0.2">
      <c r="A250" s="50">
        <f t="shared" si="17"/>
        <v>247</v>
      </c>
      <c r="B250" s="57">
        <v>1</v>
      </c>
      <c r="C250" s="57">
        <v>1</v>
      </c>
      <c r="D250" s="57">
        <v>1</v>
      </c>
      <c r="E250" s="57">
        <v>1</v>
      </c>
      <c r="F250" s="57">
        <v>0</v>
      </c>
      <c r="G250" s="57">
        <v>1</v>
      </c>
      <c r="H250" s="57">
        <v>1</v>
      </c>
      <c r="I250" s="57">
        <v>1</v>
      </c>
      <c r="J250" s="58">
        <f t="shared" si="20"/>
        <v>128</v>
      </c>
      <c r="K250" s="57">
        <f t="shared" si="20"/>
        <v>64</v>
      </c>
      <c r="L250" s="57">
        <f t="shared" si="20"/>
        <v>32</v>
      </c>
      <c r="M250" s="57">
        <f t="shared" si="19"/>
        <v>16</v>
      </c>
      <c r="N250" s="57">
        <f t="shared" si="19"/>
        <v>0</v>
      </c>
      <c r="O250" s="57">
        <f t="shared" si="19"/>
        <v>4</v>
      </c>
      <c r="P250" s="57">
        <f t="shared" si="19"/>
        <v>2</v>
      </c>
      <c r="Q250" s="57">
        <f t="shared" si="19"/>
        <v>1</v>
      </c>
      <c r="R250" s="54">
        <f t="shared" si="16"/>
        <v>247</v>
      </c>
    </row>
    <row r="251" spans="1:18" x14ac:dyDescent="0.2">
      <c r="A251" s="50">
        <f t="shared" si="17"/>
        <v>248</v>
      </c>
      <c r="B251" s="57">
        <v>1</v>
      </c>
      <c r="C251" s="57">
        <v>1</v>
      </c>
      <c r="D251" s="57">
        <v>1</v>
      </c>
      <c r="E251" s="57">
        <v>1</v>
      </c>
      <c r="F251" s="57">
        <v>1</v>
      </c>
      <c r="G251" s="57">
        <v>0</v>
      </c>
      <c r="H251" s="57">
        <v>0</v>
      </c>
      <c r="I251" s="57">
        <v>0</v>
      </c>
      <c r="J251" s="58">
        <f t="shared" si="20"/>
        <v>128</v>
      </c>
      <c r="K251" s="57">
        <f t="shared" si="20"/>
        <v>64</v>
      </c>
      <c r="L251" s="57">
        <f t="shared" si="20"/>
        <v>32</v>
      </c>
      <c r="M251" s="57">
        <f t="shared" si="19"/>
        <v>16</v>
      </c>
      <c r="N251" s="57">
        <f t="shared" si="19"/>
        <v>8</v>
      </c>
      <c r="O251" s="57">
        <f t="shared" si="19"/>
        <v>0</v>
      </c>
      <c r="P251" s="57">
        <f t="shared" si="19"/>
        <v>0</v>
      </c>
      <c r="Q251" s="57">
        <f t="shared" si="19"/>
        <v>0</v>
      </c>
      <c r="R251" s="54">
        <f t="shared" si="16"/>
        <v>248</v>
      </c>
    </row>
    <row r="252" spans="1:18" x14ac:dyDescent="0.2">
      <c r="A252" s="50">
        <f t="shared" si="17"/>
        <v>249</v>
      </c>
      <c r="B252" s="57">
        <v>1</v>
      </c>
      <c r="C252" s="57">
        <v>1</v>
      </c>
      <c r="D252" s="57">
        <v>1</v>
      </c>
      <c r="E252" s="57">
        <v>1</v>
      </c>
      <c r="F252" s="57">
        <v>1</v>
      </c>
      <c r="G252" s="57">
        <v>0</v>
      </c>
      <c r="H252" s="57">
        <v>0</v>
      </c>
      <c r="I252" s="57">
        <v>1</v>
      </c>
      <c r="J252" s="58">
        <f t="shared" si="20"/>
        <v>128</v>
      </c>
      <c r="K252" s="57">
        <f t="shared" si="20"/>
        <v>64</v>
      </c>
      <c r="L252" s="57">
        <f t="shared" si="20"/>
        <v>32</v>
      </c>
      <c r="M252" s="57">
        <f t="shared" si="19"/>
        <v>16</v>
      </c>
      <c r="N252" s="57">
        <f t="shared" si="19"/>
        <v>8</v>
      </c>
      <c r="O252" s="57">
        <f t="shared" si="19"/>
        <v>0</v>
      </c>
      <c r="P252" s="57">
        <f t="shared" si="19"/>
        <v>0</v>
      </c>
      <c r="Q252" s="57">
        <f t="shared" si="19"/>
        <v>1</v>
      </c>
      <c r="R252" s="54">
        <f t="shared" si="16"/>
        <v>249</v>
      </c>
    </row>
    <row r="253" spans="1:18" x14ac:dyDescent="0.2">
      <c r="A253" s="50">
        <f t="shared" si="17"/>
        <v>250</v>
      </c>
      <c r="B253" s="57">
        <v>1</v>
      </c>
      <c r="C253" s="57">
        <v>1</v>
      </c>
      <c r="D253" s="57">
        <v>1</v>
      </c>
      <c r="E253" s="57">
        <v>1</v>
      </c>
      <c r="F253" s="57">
        <v>1</v>
      </c>
      <c r="G253" s="57">
        <v>0</v>
      </c>
      <c r="H253" s="57">
        <v>1</v>
      </c>
      <c r="I253" s="57">
        <v>0</v>
      </c>
      <c r="J253" s="58">
        <f t="shared" si="20"/>
        <v>128</v>
      </c>
      <c r="K253" s="57">
        <f t="shared" si="20"/>
        <v>64</v>
      </c>
      <c r="L253" s="57">
        <f t="shared" si="20"/>
        <v>32</v>
      </c>
      <c r="M253" s="57">
        <f t="shared" si="19"/>
        <v>16</v>
      </c>
      <c r="N253" s="57">
        <f t="shared" si="19"/>
        <v>8</v>
      </c>
      <c r="O253" s="57">
        <f t="shared" si="19"/>
        <v>0</v>
      </c>
      <c r="P253" s="57">
        <f t="shared" si="19"/>
        <v>2</v>
      </c>
      <c r="Q253" s="57">
        <f t="shared" si="19"/>
        <v>0</v>
      </c>
      <c r="R253" s="54">
        <f t="shared" si="16"/>
        <v>250</v>
      </c>
    </row>
    <row r="254" spans="1:18" x14ac:dyDescent="0.2">
      <c r="A254" s="50">
        <f t="shared" si="17"/>
        <v>251</v>
      </c>
      <c r="B254" s="57">
        <v>1</v>
      </c>
      <c r="C254" s="57">
        <v>1</v>
      </c>
      <c r="D254" s="57">
        <v>1</v>
      </c>
      <c r="E254" s="57">
        <v>1</v>
      </c>
      <c r="F254" s="57">
        <v>1</v>
      </c>
      <c r="G254" s="57">
        <v>0</v>
      </c>
      <c r="H254" s="57">
        <v>1</v>
      </c>
      <c r="I254" s="57">
        <v>1</v>
      </c>
      <c r="J254" s="58">
        <f t="shared" si="20"/>
        <v>128</v>
      </c>
      <c r="K254" s="57">
        <f t="shared" si="20"/>
        <v>64</v>
      </c>
      <c r="L254" s="57">
        <f t="shared" si="20"/>
        <v>32</v>
      </c>
      <c r="M254" s="57">
        <f t="shared" si="19"/>
        <v>16</v>
      </c>
      <c r="N254" s="57">
        <f t="shared" si="19"/>
        <v>8</v>
      </c>
      <c r="O254" s="57">
        <f t="shared" si="19"/>
        <v>0</v>
      </c>
      <c r="P254" s="57">
        <f t="shared" si="19"/>
        <v>2</v>
      </c>
      <c r="Q254" s="57">
        <f t="shared" si="19"/>
        <v>1</v>
      </c>
      <c r="R254" s="54">
        <f t="shared" si="16"/>
        <v>251</v>
      </c>
    </row>
    <row r="255" spans="1:18" x14ac:dyDescent="0.2">
      <c r="A255" s="50">
        <f t="shared" si="17"/>
        <v>252</v>
      </c>
      <c r="B255" s="57">
        <v>1</v>
      </c>
      <c r="C255" s="57">
        <v>1</v>
      </c>
      <c r="D255" s="57">
        <v>1</v>
      </c>
      <c r="E255" s="57">
        <v>1</v>
      </c>
      <c r="F255" s="57">
        <v>1</v>
      </c>
      <c r="G255" s="57">
        <v>1</v>
      </c>
      <c r="H255" s="57">
        <v>0</v>
      </c>
      <c r="I255" s="57">
        <v>0</v>
      </c>
      <c r="J255" s="58">
        <f t="shared" si="20"/>
        <v>128</v>
      </c>
      <c r="K255" s="57">
        <f t="shared" si="20"/>
        <v>64</v>
      </c>
      <c r="L255" s="57">
        <f t="shared" si="20"/>
        <v>32</v>
      </c>
      <c r="M255" s="57">
        <f t="shared" si="19"/>
        <v>16</v>
      </c>
      <c r="N255" s="57">
        <f t="shared" si="19"/>
        <v>8</v>
      </c>
      <c r="O255" s="57">
        <f t="shared" si="19"/>
        <v>4</v>
      </c>
      <c r="P255" s="57">
        <f t="shared" si="19"/>
        <v>0</v>
      </c>
      <c r="Q255" s="57">
        <f t="shared" si="19"/>
        <v>0</v>
      </c>
      <c r="R255" s="54">
        <f t="shared" si="16"/>
        <v>252</v>
      </c>
    </row>
    <row r="256" spans="1:18" x14ac:dyDescent="0.2">
      <c r="A256" s="50">
        <f t="shared" si="17"/>
        <v>253</v>
      </c>
      <c r="B256" s="57">
        <v>1</v>
      </c>
      <c r="C256" s="57">
        <v>1</v>
      </c>
      <c r="D256" s="57">
        <v>1</v>
      </c>
      <c r="E256" s="57">
        <v>1</v>
      </c>
      <c r="F256" s="57">
        <v>1</v>
      </c>
      <c r="G256" s="57">
        <v>1</v>
      </c>
      <c r="H256" s="57">
        <v>0</v>
      </c>
      <c r="I256" s="57">
        <v>1</v>
      </c>
      <c r="J256" s="58">
        <f t="shared" si="20"/>
        <v>128</v>
      </c>
      <c r="K256" s="57">
        <f t="shared" si="20"/>
        <v>64</v>
      </c>
      <c r="L256" s="57">
        <f t="shared" si="20"/>
        <v>32</v>
      </c>
      <c r="M256" s="57">
        <f t="shared" si="19"/>
        <v>16</v>
      </c>
      <c r="N256" s="57">
        <f t="shared" si="19"/>
        <v>8</v>
      </c>
      <c r="O256" s="57">
        <f t="shared" si="19"/>
        <v>4</v>
      </c>
      <c r="P256" s="57">
        <f t="shared" si="19"/>
        <v>0</v>
      </c>
      <c r="Q256" s="57">
        <f t="shared" si="19"/>
        <v>1</v>
      </c>
      <c r="R256" s="54">
        <f t="shared" si="16"/>
        <v>253</v>
      </c>
    </row>
    <row r="257" spans="1:18" x14ac:dyDescent="0.2">
      <c r="A257" s="50">
        <f t="shared" si="17"/>
        <v>254</v>
      </c>
      <c r="B257" s="57">
        <v>1</v>
      </c>
      <c r="C257" s="57">
        <v>1</v>
      </c>
      <c r="D257" s="57">
        <v>1</v>
      </c>
      <c r="E257" s="57">
        <v>1</v>
      </c>
      <c r="F257" s="57">
        <v>1</v>
      </c>
      <c r="G257" s="57">
        <v>1</v>
      </c>
      <c r="H257" s="57">
        <v>1</v>
      </c>
      <c r="I257" s="57">
        <v>0</v>
      </c>
      <c r="J257" s="58">
        <f t="shared" si="20"/>
        <v>128</v>
      </c>
      <c r="K257" s="57">
        <f t="shared" si="20"/>
        <v>64</v>
      </c>
      <c r="L257" s="57">
        <f t="shared" si="20"/>
        <v>32</v>
      </c>
      <c r="M257" s="57">
        <f t="shared" si="19"/>
        <v>16</v>
      </c>
      <c r="N257" s="57">
        <f t="shared" si="19"/>
        <v>8</v>
      </c>
      <c r="O257" s="57">
        <f t="shared" si="19"/>
        <v>4</v>
      </c>
      <c r="P257" s="57">
        <f t="shared" si="19"/>
        <v>2</v>
      </c>
      <c r="Q257" s="57">
        <f t="shared" si="19"/>
        <v>0</v>
      </c>
      <c r="R257" s="54">
        <f t="shared" si="16"/>
        <v>254</v>
      </c>
    </row>
    <row r="258" spans="1:18" x14ac:dyDescent="0.2">
      <c r="A258" s="50">
        <f t="shared" si="17"/>
        <v>255</v>
      </c>
      <c r="B258" s="57">
        <v>1</v>
      </c>
      <c r="C258" s="57">
        <v>1</v>
      </c>
      <c r="D258" s="57">
        <v>1</v>
      </c>
      <c r="E258" s="57">
        <v>1</v>
      </c>
      <c r="F258" s="57">
        <v>1</v>
      </c>
      <c r="G258" s="57">
        <v>1</v>
      </c>
      <c r="H258" s="57">
        <v>1</v>
      </c>
      <c r="I258" s="57">
        <v>1</v>
      </c>
      <c r="J258" s="58">
        <f t="shared" si="20"/>
        <v>128</v>
      </c>
      <c r="K258" s="57">
        <f t="shared" si="20"/>
        <v>64</v>
      </c>
      <c r="L258" s="57">
        <f t="shared" si="20"/>
        <v>32</v>
      </c>
      <c r="M258" s="57">
        <f t="shared" si="19"/>
        <v>16</v>
      </c>
      <c r="N258" s="57">
        <f t="shared" si="19"/>
        <v>8</v>
      </c>
      <c r="O258" s="57">
        <f t="shared" si="19"/>
        <v>4</v>
      </c>
      <c r="P258" s="57">
        <f t="shared" si="19"/>
        <v>2</v>
      </c>
      <c r="Q258" s="57">
        <f t="shared" si="19"/>
        <v>1</v>
      </c>
      <c r="R258" s="54">
        <f t="shared" si="16"/>
        <v>255</v>
      </c>
    </row>
  </sheetData>
  <mergeCells count="2">
    <mergeCell ref="A1:R1"/>
    <mergeCell ref="T1:U1"/>
  </mergeCell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workbookViewId="0">
      <selection activeCell="C20" sqref="C20"/>
    </sheetView>
  </sheetViews>
  <sheetFormatPr defaultRowHeight="15" x14ac:dyDescent="0.25"/>
  <cols>
    <col min="1" max="1" width="19.85546875" bestFit="1" customWidth="1"/>
    <col min="2" max="3" width="41" bestFit="1" customWidth="1"/>
    <col min="4" max="4" width="19.140625" customWidth="1"/>
  </cols>
  <sheetData>
    <row r="1" spans="1:4" x14ac:dyDescent="0.3">
      <c r="A1" t="s">
        <v>27</v>
      </c>
      <c r="B1" t="s">
        <v>70</v>
      </c>
    </row>
    <row r="2" spans="1:4" x14ac:dyDescent="0.3">
      <c r="B2" s="2"/>
    </row>
    <row r="4" spans="1:4" x14ac:dyDescent="0.3">
      <c r="A4" t="s">
        <v>31</v>
      </c>
      <c r="B4" t="s">
        <v>32</v>
      </c>
    </row>
    <row r="5" spans="1:4" x14ac:dyDescent="0.3">
      <c r="A5" t="s">
        <v>71</v>
      </c>
      <c r="B5" t="s">
        <v>33</v>
      </c>
    </row>
    <row r="7" spans="1:4" x14ac:dyDescent="0.3">
      <c r="A7" t="s">
        <v>64</v>
      </c>
      <c r="B7" t="s">
        <v>65</v>
      </c>
    </row>
    <row r="8" spans="1:4" x14ac:dyDescent="0.3">
      <c r="A8" t="s">
        <v>63</v>
      </c>
      <c r="B8" t="s">
        <v>66</v>
      </c>
    </row>
    <row r="10" spans="1:4" x14ac:dyDescent="0.3">
      <c r="A10" t="s">
        <v>67</v>
      </c>
    </row>
    <row r="11" spans="1:4" x14ac:dyDescent="0.3">
      <c r="A11" t="s">
        <v>68</v>
      </c>
      <c r="B11" t="str">
        <f>"netsh wlan show profile "&amp;A11&amp;" key=clear"</f>
        <v>netsh wlan show profile arcx key=clear</v>
      </c>
      <c r="C11" t="s">
        <v>75</v>
      </c>
    </row>
    <row r="12" spans="1:4" x14ac:dyDescent="0.3">
      <c r="A12" t="s">
        <v>72</v>
      </c>
      <c r="B12" t="str">
        <f>"netsh wlan show profile "&amp;A12&amp;" key=clear"</f>
        <v>netsh wlan show profile TMMC-Admin key=clear</v>
      </c>
      <c r="C12" t="s">
        <v>73</v>
      </c>
      <c r="D12" s="60" t="s">
        <v>74</v>
      </c>
    </row>
    <row r="13" spans="1:4" x14ac:dyDescent="0.3">
      <c r="A13" t="s">
        <v>76</v>
      </c>
      <c r="B13" t="str">
        <f>"netsh wlan show profile "&amp;A13&amp;" key=clear"</f>
        <v>netsh wlan show profile TOYOTA-Guest key=clear</v>
      </c>
      <c r="C13" t="s">
        <v>77</v>
      </c>
      <c r="D13" t="s">
        <v>78</v>
      </c>
    </row>
  </sheetData>
  <hyperlinks>
    <hyperlink ref="D12" r:id="rId1"/>
  </hyperlinks>
  <pageMargins left="0.7" right="0.7" top="0.75" bottom="0.75" header="0.3" footer="0.3"/>
  <pageSetup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IP Lists</vt:lpstr>
      <vt:lpstr>Subnet Calculator</vt:lpstr>
      <vt:lpstr>Binary</vt:lpstr>
      <vt:lpstr>Misc.</vt:lpstr>
      <vt:lpstr>host</vt:lpstr>
      <vt:lpstr>range</vt:lpstr>
      <vt:lpstr>range2</vt:lpstr>
    </vt:vector>
  </TitlesOfParts>
  <Company>JMP Engineering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IP Address List Changer</dc:subject>
  <dc:creator>Phil Chenier</dc:creator>
  <cp:lastModifiedBy>craven</cp:lastModifiedBy>
  <dcterms:created xsi:type="dcterms:W3CDTF">2014-03-03T19:57:32Z</dcterms:created>
  <dcterms:modified xsi:type="dcterms:W3CDTF">2019-07-15T14:53:00Z</dcterms:modified>
</cp:coreProperties>
</file>